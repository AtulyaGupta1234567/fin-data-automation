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9" i="1" l="1"/>
  <c r="H89" i="1"/>
  <c r="L88" i="1"/>
  <c r="L89" i="1" s="1"/>
  <c r="Q89" i="1" s="1"/>
  <c r="J88" i="1"/>
  <c r="J89" i="1" s="1"/>
  <c r="Q86" i="1"/>
  <c r="I85" i="1"/>
  <c r="H85" i="1"/>
  <c r="L84" i="1"/>
  <c r="Q84" i="1" s="1"/>
  <c r="J84" i="1"/>
  <c r="N84" i="1" s="1"/>
  <c r="L83" i="1"/>
  <c r="Q83" i="1" s="1"/>
  <c r="J83" i="1"/>
  <c r="K83" i="1" s="1"/>
  <c r="M83" i="1" s="1"/>
  <c r="L82" i="1"/>
  <c r="Q82" i="1" s="1"/>
  <c r="J82" i="1"/>
  <c r="K82" i="1" s="1"/>
  <c r="M82" i="1" s="1"/>
  <c r="Q81" i="1"/>
  <c r="N81" i="1"/>
  <c r="L81" i="1"/>
  <c r="J81" i="1"/>
  <c r="K81" i="1" s="1"/>
  <c r="M81" i="1" s="1"/>
  <c r="L80" i="1"/>
  <c r="Q80" i="1" s="1"/>
  <c r="K80" i="1"/>
  <c r="J80" i="1"/>
  <c r="I78" i="1"/>
  <c r="H78" i="1"/>
  <c r="Q77" i="1"/>
  <c r="L77" i="1"/>
  <c r="J77" i="1"/>
  <c r="K77" i="1" s="1"/>
  <c r="M77" i="1" s="1"/>
  <c r="L76" i="1"/>
  <c r="Q76" i="1" s="1"/>
  <c r="J76" i="1"/>
  <c r="L75" i="1"/>
  <c r="Q75" i="1" s="1"/>
  <c r="J75" i="1"/>
  <c r="K75" i="1" s="1"/>
  <c r="M75" i="1" s="1"/>
  <c r="L74" i="1"/>
  <c r="Q74" i="1" s="1"/>
  <c r="J74" i="1"/>
  <c r="N74" i="1" s="1"/>
  <c r="L73" i="1"/>
  <c r="Q73" i="1" s="1"/>
  <c r="J73" i="1"/>
  <c r="K73" i="1" s="1"/>
  <c r="M73" i="1" s="1"/>
  <c r="L72" i="1"/>
  <c r="Q72" i="1" s="1"/>
  <c r="J72" i="1"/>
  <c r="K72" i="1" s="1"/>
  <c r="M72" i="1" s="1"/>
  <c r="L71" i="1"/>
  <c r="Q71" i="1" s="1"/>
  <c r="J71" i="1"/>
  <c r="K71" i="1" s="1"/>
  <c r="M71" i="1" s="1"/>
  <c r="L70" i="1"/>
  <c r="Q70" i="1" s="1"/>
  <c r="J70" i="1"/>
  <c r="N70" i="1" s="1"/>
  <c r="L69" i="1"/>
  <c r="Q69" i="1" s="1"/>
  <c r="J69" i="1"/>
  <c r="K69" i="1" s="1"/>
  <c r="M69" i="1" s="1"/>
  <c r="L68" i="1"/>
  <c r="Q68" i="1" s="1"/>
  <c r="K68" i="1"/>
  <c r="M68" i="1" s="1"/>
  <c r="J68" i="1"/>
  <c r="L67" i="1"/>
  <c r="Q67" i="1" s="1"/>
  <c r="J67" i="1"/>
  <c r="K67" i="1" s="1"/>
  <c r="M67" i="1" s="1"/>
  <c r="L66" i="1"/>
  <c r="J66" i="1"/>
  <c r="K66" i="1" s="1"/>
  <c r="I64" i="1"/>
  <c r="H64" i="1"/>
  <c r="L63" i="1"/>
  <c r="Q63" i="1" s="1"/>
  <c r="J63" i="1"/>
  <c r="K63" i="1" s="1"/>
  <c r="M63" i="1" s="1"/>
  <c r="L62" i="1"/>
  <c r="Q62" i="1" s="1"/>
  <c r="J62" i="1"/>
  <c r="K62" i="1" s="1"/>
  <c r="M62" i="1" s="1"/>
  <c r="L61" i="1"/>
  <c r="Q61" i="1" s="1"/>
  <c r="J61" i="1"/>
  <c r="K61" i="1" s="1"/>
  <c r="M61" i="1" s="1"/>
  <c r="L60" i="1"/>
  <c r="Q60" i="1" s="1"/>
  <c r="J60" i="1"/>
  <c r="K60" i="1" s="1"/>
  <c r="M60" i="1" s="1"/>
  <c r="L59" i="1"/>
  <c r="Q59" i="1" s="1"/>
  <c r="J59" i="1"/>
  <c r="K59" i="1" s="1"/>
  <c r="M59" i="1" s="1"/>
  <c r="L58" i="1"/>
  <c r="Q58" i="1" s="1"/>
  <c r="J58" i="1"/>
  <c r="K58" i="1" s="1"/>
  <c r="M58" i="1" s="1"/>
  <c r="L57" i="1"/>
  <c r="J57" i="1"/>
  <c r="K57" i="1" s="1"/>
  <c r="I50" i="1"/>
  <c r="H50" i="1"/>
  <c r="L49" i="1"/>
  <c r="Q49" i="1" s="1"/>
  <c r="J49" i="1"/>
  <c r="K49" i="1" s="1"/>
  <c r="I47" i="1"/>
  <c r="H47" i="1"/>
  <c r="L46" i="1"/>
  <c r="L47" i="1" s="1"/>
  <c r="Q47" i="1" s="1"/>
  <c r="J46" i="1"/>
  <c r="K46" i="1" s="1"/>
  <c r="I44" i="1"/>
  <c r="H44" i="1"/>
  <c r="L43" i="1"/>
  <c r="Q43" i="1" s="1"/>
  <c r="J43" i="1"/>
  <c r="K43" i="1" s="1"/>
  <c r="M43" i="1" s="1"/>
  <c r="N42" i="1"/>
  <c r="L42" i="1"/>
  <c r="Q42" i="1" s="1"/>
  <c r="J42" i="1"/>
  <c r="K42" i="1" s="1"/>
  <c r="M42" i="1" s="1"/>
  <c r="L41" i="1"/>
  <c r="Q41" i="1" s="1"/>
  <c r="J41" i="1"/>
  <c r="K41" i="1" s="1"/>
  <c r="M41" i="1" s="1"/>
  <c r="L40" i="1"/>
  <c r="Q40" i="1" s="1"/>
  <c r="J40" i="1"/>
  <c r="K40" i="1" s="1"/>
  <c r="M40" i="1" s="1"/>
  <c r="L39" i="1"/>
  <c r="Q39" i="1" s="1"/>
  <c r="J39" i="1"/>
  <c r="K39" i="1" s="1"/>
  <c r="M39" i="1" s="1"/>
  <c r="L38" i="1"/>
  <c r="Q38" i="1" s="1"/>
  <c r="J38" i="1"/>
  <c r="K38" i="1" s="1"/>
  <c r="M38" i="1" s="1"/>
  <c r="L37" i="1"/>
  <c r="Q37" i="1" s="1"/>
  <c r="J37" i="1"/>
  <c r="I35" i="1"/>
  <c r="H35" i="1"/>
  <c r="L34" i="1"/>
  <c r="Q34" i="1" s="1"/>
  <c r="J34" i="1"/>
  <c r="K34" i="1" s="1"/>
  <c r="M34" i="1" s="1"/>
  <c r="L33" i="1"/>
  <c r="Q33" i="1" s="1"/>
  <c r="J33" i="1"/>
  <c r="K33" i="1" s="1"/>
  <c r="M33" i="1" s="1"/>
  <c r="L32" i="1"/>
  <c r="Q32" i="1" s="1"/>
  <c r="J32" i="1"/>
  <c r="K32" i="1" s="1"/>
  <c r="M32" i="1" s="1"/>
  <c r="L31" i="1"/>
  <c r="Q31" i="1" s="1"/>
  <c r="J31" i="1"/>
  <c r="K31" i="1" s="1"/>
  <c r="M31" i="1" s="1"/>
  <c r="L30" i="1"/>
  <c r="Q30" i="1" s="1"/>
  <c r="J30" i="1"/>
  <c r="K30" i="1" s="1"/>
  <c r="M30" i="1" s="1"/>
  <c r="L29" i="1"/>
  <c r="Q29" i="1" s="1"/>
  <c r="J29" i="1"/>
  <c r="K29" i="1" s="1"/>
  <c r="M29" i="1" s="1"/>
  <c r="L28" i="1"/>
  <c r="Q28" i="1" s="1"/>
  <c r="J28" i="1"/>
  <c r="K28" i="1" s="1"/>
  <c r="M28" i="1" s="1"/>
  <c r="L27" i="1"/>
  <c r="Q27" i="1" s="1"/>
  <c r="J27" i="1"/>
  <c r="K27" i="1" s="1"/>
  <c r="M27" i="1" s="1"/>
  <c r="L26" i="1"/>
  <c r="L35" i="1" s="1"/>
  <c r="Q35" i="1" s="1"/>
  <c r="J26" i="1"/>
  <c r="I24" i="1"/>
  <c r="H24" i="1"/>
  <c r="Q23" i="1"/>
  <c r="L23" i="1"/>
  <c r="J23" i="1"/>
  <c r="N23" i="1" s="1"/>
  <c r="Q22" i="1"/>
  <c r="L22" i="1"/>
  <c r="J22" i="1"/>
  <c r="K22" i="1" s="1"/>
  <c r="M22" i="1" s="1"/>
  <c r="L21" i="1"/>
  <c r="Q21" i="1" s="1"/>
  <c r="J21" i="1"/>
  <c r="L20" i="1"/>
  <c r="Q20" i="1" s="1"/>
  <c r="J20" i="1"/>
  <c r="K20" i="1" s="1"/>
  <c r="M20" i="1" s="1"/>
  <c r="L19" i="1"/>
  <c r="K19" i="1"/>
  <c r="M19" i="1" s="1"/>
  <c r="J19" i="1"/>
  <c r="L18" i="1"/>
  <c r="Q18" i="1" s="1"/>
  <c r="J18" i="1"/>
  <c r="J24" i="1" s="1"/>
  <c r="H16" i="1"/>
  <c r="L15" i="1"/>
  <c r="Q15" i="1" s="1"/>
  <c r="J15" i="1"/>
  <c r="K15" i="1" s="1"/>
  <c r="M15" i="1" s="1"/>
  <c r="L14" i="1"/>
  <c r="Q14" i="1" s="1"/>
  <c r="J14" i="1"/>
  <c r="K14" i="1" s="1"/>
  <c r="M14" i="1" s="1"/>
  <c r="Q13" i="1"/>
  <c r="L13" i="1"/>
  <c r="J13" i="1"/>
  <c r="K13" i="1" s="1"/>
  <c r="M13" i="1" s="1"/>
  <c r="L12" i="1"/>
  <c r="Q12" i="1" s="1"/>
  <c r="J12" i="1"/>
  <c r="K12" i="1" s="1"/>
  <c r="M12" i="1" s="1"/>
  <c r="L11" i="1"/>
  <c r="P12" i="1" s="1"/>
  <c r="J11" i="1"/>
  <c r="K11" i="1" s="1"/>
  <c r="M11" i="1" s="1"/>
  <c r="L10" i="1"/>
  <c r="Q10" i="1" s="1"/>
  <c r="J10" i="1"/>
  <c r="K10" i="1" s="1"/>
  <c r="M10" i="1" s="1"/>
  <c r="L9" i="1"/>
  <c r="Q9" i="1" s="1"/>
  <c r="J9" i="1"/>
  <c r="K9" i="1" s="1"/>
  <c r="M9" i="1" s="1"/>
  <c r="L8" i="1"/>
  <c r="Q8" i="1" s="1"/>
  <c r="J8" i="1"/>
  <c r="K8" i="1" s="1"/>
  <c r="M8" i="1" s="1"/>
  <c r="Q7" i="1"/>
  <c r="N7" i="1"/>
  <c r="L7" i="1"/>
  <c r="J7" i="1"/>
  <c r="K7" i="1" s="1"/>
  <c r="M7" i="1" s="1"/>
  <c r="L6" i="1"/>
  <c r="Q6" i="1" s="1"/>
  <c r="J6" i="1"/>
  <c r="K6" i="1" s="1"/>
  <c r="M6" i="1" s="1"/>
  <c r="L5" i="1"/>
  <c r="Q5" i="1" s="1"/>
  <c r="J5" i="1"/>
  <c r="K5" i="1" s="1"/>
  <c r="M5" i="1" s="1"/>
  <c r="L4" i="1"/>
  <c r="J4" i="1"/>
  <c r="K4" i="1" s="1"/>
  <c r="M4" i="1" s="1"/>
  <c r="L3" i="1"/>
  <c r="Q3" i="1" s="1"/>
  <c r="J3" i="1"/>
  <c r="N3" i="1" l="1"/>
  <c r="N15" i="1"/>
  <c r="L24" i="1"/>
  <c r="Q24" i="1" s="1"/>
  <c r="Q26" i="1"/>
  <c r="N29" i="1"/>
  <c r="L64" i="1"/>
  <c r="Q64" i="1" s="1"/>
  <c r="K70" i="1"/>
  <c r="M70" i="1" s="1"/>
  <c r="N71" i="1"/>
  <c r="K74" i="1"/>
  <c r="M74" i="1" s="1"/>
  <c r="K84" i="1"/>
  <c r="M84" i="1" s="1"/>
  <c r="Q19" i="1"/>
  <c r="N21" i="1"/>
  <c r="K23" i="1"/>
  <c r="M23" i="1" s="1"/>
  <c r="N33" i="1"/>
  <c r="J47" i="1"/>
  <c r="N47" i="1" s="1"/>
  <c r="N57" i="1"/>
  <c r="N67" i="1"/>
  <c r="N76" i="1"/>
  <c r="N11" i="1"/>
  <c r="N19" i="1"/>
  <c r="K21" i="1"/>
  <c r="M21" i="1" s="1"/>
  <c r="J35" i="1"/>
  <c r="N40" i="1"/>
  <c r="N46" i="1"/>
  <c r="L50" i="1"/>
  <c r="Q50" i="1" s="1"/>
  <c r="N63" i="1"/>
  <c r="K76" i="1"/>
  <c r="M76" i="1" s="1"/>
  <c r="N77" i="1"/>
  <c r="K88" i="1"/>
  <c r="I91" i="1"/>
  <c r="N24" i="1"/>
  <c r="N5" i="1"/>
  <c r="N9" i="1"/>
  <c r="N35" i="1"/>
  <c r="J16" i="1"/>
  <c r="K3" i="1"/>
  <c r="N13" i="1"/>
  <c r="Q4" i="1"/>
  <c r="L16" i="1"/>
  <c r="Q16" i="1" s="1"/>
  <c r="N4" i="1"/>
  <c r="N12" i="1"/>
  <c r="N28" i="1"/>
  <c r="N32" i="1"/>
  <c r="N39" i="1"/>
  <c r="M66" i="1"/>
  <c r="N82" i="1"/>
  <c r="L85" i="1"/>
  <c r="Q85" i="1" s="1"/>
  <c r="N89" i="1"/>
  <c r="N18" i="1"/>
  <c r="N20" i="1"/>
  <c r="N22" i="1"/>
  <c r="N26" i="1"/>
  <c r="K37" i="1"/>
  <c r="J44" i="1"/>
  <c r="J78" i="1"/>
  <c r="N6" i="1"/>
  <c r="N8" i="1"/>
  <c r="N10" i="1"/>
  <c r="N14" i="1"/>
  <c r="K18" i="1"/>
  <c r="K26" i="1"/>
  <c r="N27" i="1"/>
  <c r="N31" i="1"/>
  <c r="N38" i="1"/>
  <c r="L44" i="1"/>
  <c r="Q44" i="1" s="1"/>
  <c r="K50" i="1"/>
  <c r="M50" i="1" s="1"/>
  <c r="M49" i="1"/>
  <c r="N59" i="1"/>
  <c r="Q66" i="1"/>
  <c r="L78" i="1"/>
  <c r="Q78" i="1" s="1"/>
  <c r="N68" i="1"/>
  <c r="N72" i="1"/>
  <c r="N75" i="1"/>
  <c r="N30" i="1"/>
  <c r="N34" i="1"/>
  <c r="N37" i="1"/>
  <c r="M46" i="1"/>
  <c r="K47" i="1"/>
  <c r="M47" i="1" s="1"/>
  <c r="M57" i="1"/>
  <c r="K64" i="1"/>
  <c r="M64" i="1" s="1"/>
  <c r="N61" i="1"/>
  <c r="J64" i="1"/>
  <c r="N69" i="1"/>
  <c r="N73" i="1"/>
  <c r="J85" i="1"/>
  <c r="N83" i="1"/>
  <c r="Q46" i="1"/>
  <c r="Q57" i="1"/>
  <c r="M80" i="1"/>
  <c r="N88" i="1"/>
  <c r="N41" i="1"/>
  <c r="N43" i="1"/>
  <c r="N49" i="1"/>
  <c r="J50" i="1"/>
  <c r="N58" i="1"/>
  <c r="N60" i="1"/>
  <c r="N62" i="1"/>
  <c r="N66" i="1"/>
  <c r="N80" i="1"/>
  <c r="Q88" i="1"/>
  <c r="H91" i="1"/>
  <c r="K78" i="1" l="1"/>
  <c r="M78" i="1" s="1"/>
  <c r="K89" i="1"/>
  <c r="M89" i="1" s="1"/>
  <c r="M88" i="1"/>
  <c r="K85" i="1"/>
  <c r="M85" i="1" s="1"/>
  <c r="K44" i="1"/>
  <c r="M44" i="1" s="1"/>
  <c r="M37" i="1"/>
  <c r="N16" i="1"/>
  <c r="N50" i="1"/>
  <c r="N64" i="1"/>
  <c r="K24" i="1"/>
  <c r="M24" i="1" s="1"/>
  <c r="M18" i="1"/>
  <c r="M3" i="1"/>
  <c r="K16" i="1"/>
  <c r="M16" i="1" s="1"/>
  <c r="N78" i="1"/>
  <c r="N85" i="1"/>
  <c r="K35" i="1"/>
  <c r="M35" i="1" s="1"/>
  <c r="M26" i="1"/>
  <c r="N44" i="1"/>
  <c r="J91" i="1"/>
  <c r="N91" i="1" l="1"/>
  <c r="K91" i="1" l="1"/>
  <c r="M91" i="1" l="1"/>
</calcChain>
</file>

<file path=xl/sharedStrings.xml><?xml version="1.0" encoding="utf-8"?>
<sst xmlns="http://schemas.openxmlformats.org/spreadsheetml/2006/main" count="245" uniqueCount="135">
  <si>
    <t>scheme code</t>
  </si>
  <si>
    <t>Fund Name</t>
  </si>
  <si>
    <t>Date of Investment</t>
  </si>
  <si>
    <t>Current Date</t>
  </si>
  <si>
    <t>Current NAV</t>
  </si>
  <si>
    <t>Units</t>
  </si>
  <si>
    <t xml:space="preserve">Investment Amount </t>
  </si>
  <si>
    <t>Present Amount</t>
  </si>
  <si>
    <t>Gain</t>
  </si>
  <si>
    <t>Number of Days</t>
  </si>
  <si>
    <t>Absolute</t>
  </si>
  <si>
    <t>CAGR</t>
  </si>
  <si>
    <t>Type</t>
  </si>
  <si>
    <t>Remarks</t>
  </si>
  <si>
    <t>no of year</t>
  </si>
  <si>
    <t>SR No</t>
  </si>
  <si>
    <t>As on 1st  Oct 2025</t>
  </si>
  <si>
    <t xml:space="preserve"> </t>
  </si>
  <si>
    <t>In Days</t>
  </si>
  <si>
    <t>As On Date</t>
  </si>
  <si>
    <t>INF209K01603</t>
  </si>
  <si>
    <t>Aditya Birla Sun Life Medium Term Plan - Growth - Regular Plan</t>
  </si>
  <si>
    <t>Debt</t>
  </si>
  <si>
    <t>Segerated</t>
  </si>
  <si>
    <t>INF209KA1K47</t>
  </si>
  <si>
    <t>Aditya Birla Sun Life Credit Risk Fund - Regular Plan - Growth</t>
  </si>
  <si>
    <t>INF179K01AE4</t>
  </si>
  <si>
    <t>HDFC Hybrid Debt Fund - Growth Plan</t>
  </si>
  <si>
    <t>INF179K01AS4</t>
  </si>
  <si>
    <t>HDFC Hybrid Equity Fund - Growth Plan</t>
  </si>
  <si>
    <t>Equity</t>
  </si>
  <si>
    <t>INF179K01608</t>
  </si>
  <si>
    <t>HDFC Flexi Cap Fund - Growth Plan</t>
  </si>
  <si>
    <t>INF179K01913</t>
  </si>
  <si>
    <t>HDFC Medium Term Debt Fund - Growth Option</t>
  </si>
  <si>
    <t>INF179K01AM7</t>
  </si>
  <si>
    <t>HDFC Equity Savings Fund - GROWTH PLAN</t>
  </si>
  <si>
    <t>Averages</t>
  </si>
  <si>
    <t>INF200K01HZ8</t>
  </si>
  <si>
    <t>SBI SHORT TERM DEBT FUND - REGULAR PLAN -GROWTH</t>
  </si>
  <si>
    <t>INF200K01LJ4</t>
  </si>
  <si>
    <t>SBI ULTRA SHORT DURATION FUND - REGULAR PLAN - GROWTH</t>
  </si>
  <si>
    <t>INF200KA1R15</t>
  </si>
  <si>
    <t>SBI Floating Rate Debt Fund - Regular Plan - Growth</t>
  </si>
  <si>
    <t>INF200KA1YM5</t>
  </si>
  <si>
    <t>SBI Corporate Bond Fund - Regular Plan - Growth</t>
  </si>
  <si>
    <t>INF200KA1DA4</t>
  </si>
  <si>
    <t>SBI Equity Savings Fund - Regular Plan - Growth</t>
  </si>
  <si>
    <t>total</t>
  </si>
  <si>
    <t>Total</t>
  </si>
  <si>
    <t>INF174K01336</t>
  </si>
  <si>
    <t>Kotak Flexicap Fund - Growth</t>
  </si>
  <si>
    <t>INF200K01446</t>
  </si>
  <si>
    <t>SBI HEALTHCARE OPPORTUNITIES FUND - REGULAR PLAN -GROWTH</t>
  </si>
  <si>
    <t>INF200K01222</t>
  </si>
  <si>
    <t>SBI Flexicap Fund - REGULAR PLAN -Growth Option</t>
  </si>
  <si>
    <t>INF200K01180</t>
  </si>
  <si>
    <t>SBI Large Cap FUND-REGULAR PLAN GROWTH</t>
  </si>
  <si>
    <t>INF209K01LF3</t>
  </si>
  <si>
    <t>Aditya Birla Sun Life Value Fund - Growth Option</t>
  </si>
  <si>
    <t>INF209K01447</t>
  </si>
  <si>
    <t>Aditya Birla Sun Life Consumption Fund-Growth Option</t>
  </si>
  <si>
    <t>INF209K01793</t>
  </si>
  <si>
    <t>Aditya Birla Sun Life Dynamic Bond Fund - Growth - Regular Plan</t>
  </si>
  <si>
    <t>INF179K01BE2</t>
  </si>
  <si>
    <t>HDFC Large Cap Fund - Growth Option - Regular Plan</t>
  </si>
  <si>
    <t>INF109K01746</t>
  </si>
  <si>
    <t>ICICI Prudential Savings Fund - Growth</t>
  </si>
  <si>
    <t>Debt Liquid Plus</t>
  </si>
  <si>
    <t>INF109K01BL4</t>
  </si>
  <si>
    <t>ICICI Prudential Large Cap Fund (erstwhile Bluechip Fund)  - Growth</t>
  </si>
  <si>
    <t>INF109K01PI0</t>
  </si>
  <si>
    <t>ICICI Prudential Nifty 50 Index Fund - Cumulative Option</t>
  </si>
  <si>
    <t>INF109K01TX1</t>
  </si>
  <si>
    <t>ICICI Prudential Money Market Fund Option - Growth</t>
  </si>
  <si>
    <t>INF209K01LQ0</t>
  </si>
  <si>
    <t>Aditya Birla Sun Life Low Duration Fund - Growth Plan</t>
  </si>
  <si>
    <t>INF209K011W7</t>
  </si>
  <si>
    <t>Aditya Birla Sun Life Banking and Financial Services Fund - Regular Plan - Growth</t>
  </si>
  <si>
    <t>INF109K01AF8</t>
  </si>
  <si>
    <t>ICICI Prudential Value Fund (erstwhile Value Discovery Fund) - Growth</t>
  </si>
  <si>
    <t>INF178L01202</t>
  </si>
  <si>
    <t>Kotak Low Duration Fund- Regular Plan-Growth Option</t>
  </si>
  <si>
    <t>INF174K01C78</t>
  </si>
  <si>
    <t>Kotak Equity Savings Fund - Regular - Growth</t>
  </si>
  <si>
    <t>INF174KA1DY6</t>
  </si>
  <si>
    <t>KOTAK FLOATING RATE FUND-REGULAR PLAN-GROWTH OPTION</t>
  </si>
  <si>
    <t>INF174KA1FX3</t>
  </si>
  <si>
    <t>Kotak Nifty Next 50 Index Fund - Regular Plan - Growth Option</t>
  </si>
  <si>
    <t>INF277K01LQ7</t>
  </si>
  <si>
    <t>Tata Money Market Fund-Regular Plan - Growth Option</t>
  </si>
  <si>
    <t>Status-NRI</t>
  </si>
  <si>
    <t>INF194KA10Q8</t>
  </si>
  <si>
    <t>BANDHAN ULTRA SHORT DURATION FUND - REGULAR PLAN GROWTH</t>
  </si>
  <si>
    <t>INF209K01AJ8</t>
  </si>
  <si>
    <t>Aditya Birla Sun Life Flexi Cap Fund - Growth - Regular Plan</t>
  </si>
  <si>
    <t>INF209K01264</t>
  </si>
  <si>
    <t>Aditya BIRLA SUN LIFE ARBITRAGE FUND - REGULAR PLAN - GROWTH</t>
  </si>
  <si>
    <t>INF209K01LZ1</t>
  </si>
  <si>
    <t>Aditya Birla Sun Life Savings Fund - Growth - Regular Plan</t>
  </si>
  <si>
    <t>INF209K01462</t>
  </si>
  <si>
    <t>Aditya Birla Sun Life Focused Fund -Growth Option</t>
  </si>
  <si>
    <t>INF209K01LV0</t>
  </si>
  <si>
    <t>Aditya Birla Sun Life Banking &amp; PSU Debt Fund - Regular Plan-Growth</t>
  </si>
  <si>
    <t>INF209K01165</t>
  </si>
  <si>
    <t>Aditya Birla Sun Life Large &amp; Mid Cap Fund - Regular Growth</t>
  </si>
  <si>
    <t>Reedemed</t>
  </si>
  <si>
    <t>INF109K01431</t>
  </si>
  <si>
    <t>ICICI Prudential Large &amp; Mid Cap Fund - Growth</t>
  </si>
  <si>
    <t>INF174K01ES7</t>
  </si>
  <si>
    <t>Kotak Bond Short Term Plan-(Growth)</t>
  </si>
  <si>
    <t>INF178L01BO1</t>
  </si>
  <si>
    <t>Kotak Corporate Bond Fund- Regular Plan-Growth Option</t>
  </si>
  <si>
    <t>INF174K01302</t>
  </si>
  <si>
    <t>Kotak Arbitrage Fund - Regular Plan - Growth</t>
  </si>
  <si>
    <t>INF200K01636</t>
  </si>
  <si>
    <t>SBI  SAVINGS FUND - REGULAR PLAN - GROWTH</t>
  </si>
  <si>
    <t>INF200K01537</t>
  </si>
  <si>
    <t>SBI NIFTY INDEX FUND - REGULAR PLAN - GROWTH</t>
  </si>
  <si>
    <t>INF200K01370</t>
  </si>
  <si>
    <t>SBI FOCUSED FUND - REGULAR PLAN -GROWTH</t>
  </si>
  <si>
    <t>INF200K01VS4</t>
  </si>
  <si>
    <t>SBI TECHNOLOGY OPPORTUNITIES FUND - REGULAR PLAN - GROWTH</t>
  </si>
  <si>
    <t>Total Portfolio</t>
  </si>
  <si>
    <t>Mrs Shweta Kaushal</t>
  </si>
  <si>
    <t>A</t>
  </si>
  <si>
    <t xml:space="preserve">B </t>
  </si>
  <si>
    <t>C</t>
  </si>
  <si>
    <t>D</t>
  </si>
  <si>
    <t>E</t>
  </si>
  <si>
    <t>F</t>
  </si>
  <si>
    <t>G</t>
  </si>
  <si>
    <t>I</t>
  </si>
  <si>
    <t>H</t>
  </si>
  <si>
    <t>Mrs Vineeta Kaushal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</si>
</sst>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7" x14ac:knownFonts="1">
    <font>
      <sz val="11"/>
      <color theme="1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28"/>
      <name val="Arial"/>
      <family val="2"/>
    </font>
    <font>
      <sz val="11"/>
      <name val="Arial"/>
      <family val="2"/>
    </font>
    <font>
      <sz val="8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7030A0"/>
      <name val="Arial"/>
      <family val="2"/>
    </font>
    <font>
      <sz val="14"/>
      <color rgb="FFFFC000"/>
      <name val="Arial"/>
      <family val="2"/>
    </font>
    <font>
      <b/>
      <sz val="14"/>
      <color rgb="FFFFC000"/>
      <name val="Arial"/>
      <family val="2"/>
    </font>
    <font>
      <sz val="9"/>
      <color rgb="FF000000"/>
      <name val="Arial"/>
      <family val="2"/>
    </font>
    <font>
      <sz val="8"/>
      <color rgb="FFC0000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ill="0" applyBorder="0" applyAlignment="0" applyProtection="0"/>
  </cellStyleXfs>
  <cellXfs count="136">
    <xf numFmtId="0" fontId="0" fillId="0" borderId="0" xfId="0"/>
    <xf numFmtId="10" fontId="0" fillId="0" borderId="0" xfId="0" applyNumberFormat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1" applyFont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/>
    </xf>
    <xf numFmtId="0" fontId="1" fillId="0" borderId="0" xfId="1"/>
    <xf numFmtId="0" fontId="1" fillId="2" borderId="5" xfId="1" applyFill="1" applyBorder="1"/>
    <xf numFmtId="0" fontId="1" fillId="2" borderId="6" xfId="1" applyFill="1" applyBorder="1"/>
    <xf numFmtId="14" fontId="1" fillId="0" borderId="7" xfId="1" applyNumberFormat="1" applyBorder="1"/>
    <xf numFmtId="0" fontId="2" fillId="0" borderId="8" xfId="1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2" fillId="3" borderId="4" xfId="1" applyFont="1" applyFill="1" applyBorder="1" applyAlignment="1">
      <alignment horizontal="center" wrapText="1"/>
    </xf>
    <xf numFmtId="0" fontId="2" fillId="0" borderId="4" xfId="1" applyFont="1" applyBorder="1" applyAlignment="1">
      <alignment horizontal="center"/>
    </xf>
    <xf numFmtId="1" fontId="2" fillId="0" borderId="4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1" fontId="2" fillId="3" borderId="4" xfId="1" applyNumberFormat="1" applyFont="1" applyFill="1" applyBorder="1" applyAlignment="1">
      <alignment horizontal="center"/>
    </xf>
    <xf numFmtId="1" fontId="5" fillId="4" borderId="4" xfId="1" applyNumberFormat="1" applyFont="1" applyFill="1" applyBorder="1" applyAlignment="1">
      <alignment horizontal="center" wrapText="1"/>
    </xf>
    <xf numFmtId="0" fontId="0" fillId="0" borderId="5" xfId="0" applyBorder="1"/>
    <xf numFmtId="0" fontId="2" fillId="0" borderId="4" xfId="1" applyFont="1" applyBorder="1" applyAlignment="1">
      <alignment horizontal="center" wrapText="1"/>
    </xf>
    <xf numFmtId="15" fontId="2" fillId="0" borderId="4" xfId="1" applyNumberFormat="1" applyFont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10" fontId="2" fillId="0" borderId="4" xfId="2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" fontId="2" fillId="0" borderId="9" xfId="1" applyNumberFormat="1" applyFont="1" applyBorder="1" applyAlignment="1">
      <alignment horizontal="center"/>
    </xf>
    <xf numFmtId="10" fontId="2" fillId="0" borderId="10" xfId="1" applyNumberFormat="1" applyFont="1" applyBorder="1" applyAlignment="1">
      <alignment horizontal="center"/>
    </xf>
    <xf numFmtId="0" fontId="6" fillId="3" borderId="4" xfId="1" applyFont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4" xfId="1" applyFont="1" applyFill="1" applyBorder="1" applyAlignment="1">
      <alignment horizontal="center" wrapText="1"/>
    </xf>
    <xf numFmtId="15" fontId="2" fillId="5" borderId="4" xfId="1" applyNumberFormat="1" applyFont="1" applyFill="1" applyBorder="1" applyAlignment="1">
      <alignment horizontal="center"/>
    </xf>
    <xf numFmtId="1" fontId="2" fillId="5" borderId="4" xfId="1" applyNumberFormat="1" applyFont="1" applyFill="1" applyBorder="1" applyAlignment="1">
      <alignment horizontal="center"/>
    </xf>
    <xf numFmtId="0" fontId="2" fillId="5" borderId="4" xfId="1" applyFont="1" applyFill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 wrapText="1"/>
    </xf>
    <xf numFmtId="15" fontId="2" fillId="0" borderId="12" xfId="1" applyNumberFormat="1" applyFont="1" applyBorder="1" applyAlignment="1">
      <alignment horizontal="center"/>
    </xf>
    <xf numFmtId="1" fontId="2" fillId="0" borderId="12" xfId="1" applyNumberFormat="1" applyFont="1" applyBorder="1" applyAlignment="1">
      <alignment horizontal="center"/>
    </xf>
    <xf numFmtId="10" fontId="2" fillId="0" borderId="12" xfId="2" applyNumberFormat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10" fontId="2" fillId="0" borderId="13" xfId="1" applyNumberFormat="1" applyFont="1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3" fillId="0" borderId="15" xfId="1" applyFont="1" applyBorder="1" applyAlignment="1">
      <alignment horizontal="center" wrapText="1"/>
    </xf>
    <xf numFmtId="15" fontId="3" fillId="0" borderId="15" xfId="1" applyNumberFormat="1" applyFont="1" applyBorder="1" applyAlignment="1">
      <alignment horizontal="center"/>
    </xf>
    <xf numFmtId="1" fontId="3" fillId="0" borderId="15" xfId="1" applyNumberFormat="1" applyFont="1" applyBorder="1" applyAlignment="1">
      <alignment horizontal="center"/>
    </xf>
    <xf numFmtId="1" fontId="3" fillId="6" borderId="15" xfId="1" applyNumberFormat="1" applyFont="1" applyFill="1" applyBorder="1" applyAlignment="1">
      <alignment horizontal="center"/>
    </xf>
    <xf numFmtId="10" fontId="3" fillId="0" borderId="15" xfId="2" applyNumberFormat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164" fontId="3" fillId="0" borderId="16" xfId="1" applyNumberFormat="1" applyFont="1" applyBorder="1" applyAlignment="1">
      <alignment horizontal="center"/>
    </xf>
    <xf numFmtId="10" fontId="2" fillId="0" borderId="17" xfId="1" applyNumberFormat="1" applyFont="1" applyBorder="1" applyAlignment="1">
      <alignment horizontal="center"/>
    </xf>
    <xf numFmtId="0" fontId="7" fillId="0" borderId="0" xfId="0" applyFont="1"/>
    <xf numFmtId="0" fontId="7" fillId="0" borderId="16" xfId="0" applyFont="1" applyBorder="1"/>
    <xf numFmtId="0" fontId="2" fillId="0" borderId="18" xfId="1" applyFont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15" fontId="2" fillId="0" borderId="18" xfId="1" applyNumberFormat="1" applyFont="1" applyBorder="1" applyAlignment="1">
      <alignment horizontal="center"/>
    </xf>
    <xf numFmtId="1" fontId="2" fillId="0" borderId="18" xfId="1" applyNumberFormat="1" applyFont="1" applyBorder="1" applyAlignment="1">
      <alignment horizontal="center"/>
    </xf>
    <xf numFmtId="1" fontId="4" fillId="0" borderId="18" xfId="1" applyNumberFormat="1" applyFont="1" applyBorder="1" applyAlignment="1">
      <alignment horizontal="center"/>
    </xf>
    <xf numFmtId="10" fontId="2" fillId="0" borderId="6" xfId="1" applyNumberFormat="1" applyFont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1" fontId="2" fillId="2" borderId="4" xfId="1" applyNumberFormat="1" applyFont="1" applyFill="1" applyBorder="1" applyAlignment="1">
      <alignment horizontal="center"/>
    </xf>
    <xf numFmtId="0" fontId="8" fillId="3" borderId="4" xfId="1" applyFont="1" applyFill="1" applyBorder="1" applyAlignment="1">
      <alignment horizontal="center"/>
    </xf>
    <xf numFmtId="0" fontId="2" fillId="7" borderId="4" xfId="1" applyFont="1" applyFill="1" applyBorder="1" applyAlignment="1">
      <alignment horizontal="center"/>
    </xf>
    <xf numFmtId="0" fontId="2" fillId="7" borderId="4" xfId="1" applyFont="1" applyFill="1" applyBorder="1" applyAlignment="1">
      <alignment horizontal="center" wrapText="1"/>
    </xf>
    <xf numFmtId="15" fontId="2" fillId="7" borderId="4" xfId="1" applyNumberFormat="1" applyFont="1" applyFill="1" applyBorder="1" applyAlignment="1">
      <alignment horizontal="center"/>
    </xf>
    <xf numFmtId="1" fontId="2" fillId="7" borderId="4" xfId="1" applyNumberFormat="1" applyFont="1" applyFill="1" applyBorder="1" applyAlignment="1">
      <alignment horizontal="center"/>
    </xf>
    <xf numFmtId="0" fontId="6" fillId="7" borderId="4" xfId="1" applyFont="1" applyFill="1" applyBorder="1" applyAlignment="1">
      <alignment horizontal="center"/>
    </xf>
    <xf numFmtId="0" fontId="2" fillId="6" borderId="4" xfId="1" applyFont="1" applyFill="1" applyBorder="1" applyAlignment="1">
      <alignment horizontal="center"/>
    </xf>
    <xf numFmtId="0" fontId="6" fillId="3" borderId="4" xfId="1" applyFont="1" applyFill="1" applyBorder="1" applyAlignment="1">
      <alignment horizontal="center" wrapText="1"/>
    </xf>
    <xf numFmtId="1" fontId="2" fillId="2" borderId="12" xfId="1" applyNumberFormat="1" applyFont="1" applyFill="1" applyBorder="1" applyAlignment="1">
      <alignment horizontal="center"/>
    </xf>
    <xf numFmtId="0" fontId="9" fillId="2" borderId="12" xfId="1" applyFont="1" applyFill="1" applyBorder="1" applyAlignment="1">
      <alignment horizontal="center"/>
    </xf>
    <xf numFmtId="0" fontId="10" fillId="2" borderId="15" xfId="1" applyFont="1" applyFill="1" applyBorder="1" applyAlignment="1">
      <alignment horizontal="center"/>
    </xf>
    <xf numFmtId="10" fontId="2" fillId="5" borderId="4" xfId="2" applyNumberFormat="1" applyFont="1" applyFill="1" applyBorder="1" applyAlignment="1">
      <alignment horizontal="center"/>
    </xf>
    <xf numFmtId="0" fontId="11" fillId="0" borderId="0" xfId="0" applyFont="1"/>
    <xf numFmtId="1" fontId="2" fillId="5" borderId="12" xfId="1" applyNumberFormat="1" applyFont="1" applyFill="1" applyBorder="1" applyAlignment="1">
      <alignment horizontal="center"/>
    </xf>
    <xf numFmtId="10" fontId="2" fillId="5" borderId="12" xfId="2" applyNumberFormat="1" applyFont="1" applyFill="1" applyBorder="1" applyAlignment="1">
      <alignment horizontal="center"/>
    </xf>
    <xf numFmtId="10" fontId="3" fillId="5" borderId="15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10" fontId="2" fillId="2" borderId="18" xfId="2" applyNumberFormat="1" applyFont="1" applyFill="1" applyBorder="1" applyAlignment="1">
      <alignment horizontal="center"/>
    </xf>
    <xf numFmtId="0" fontId="2" fillId="0" borderId="0" xfId="1" applyFont="1" applyAlignment="1">
      <alignment horizontal="center" wrapText="1"/>
    </xf>
    <xf numFmtId="0" fontId="12" fillId="0" borderId="12" xfId="1" applyFont="1" applyBorder="1" applyAlignment="1">
      <alignment horizontal="center"/>
    </xf>
    <xf numFmtId="0" fontId="2" fillId="5" borderId="12" xfId="1" applyFont="1" applyFill="1" applyBorder="1" applyAlignment="1">
      <alignment horizontal="center"/>
    </xf>
    <xf numFmtId="0" fontId="2" fillId="5" borderId="0" xfId="1" applyFont="1" applyFill="1" applyAlignment="1">
      <alignment horizontal="center" wrapText="1"/>
    </xf>
    <xf numFmtId="15" fontId="2" fillId="5" borderId="12" xfId="1" applyNumberFormat="1" applyFont="1" applyFill="1" applyBorder="1" applyAlignment="1">
      <alignment horizontal="center"/>
    </xf>
    <xf numFmtId="0" fontId="2" fillId="8" borderId="4" xfId="1" applyFont="1" applyFill="1" applyBorder="1" applyAlignment="1">
      <alignment horizontal="center" wrapText="1"/>
    </xf>
    <xf numFmtId="15" fontId="2" fillId="8" borderId="4" xfId="1" applyNumberFormat="1" applyFont="1" applyFill="1" applyBorder="1" applyAlignment="1">
      <alignment horizontal="center"/>
    </xf>
    <xf numFmtId="1" fontId="2" fillId="8" borderId="4" xfId="1" applyNumberFormat="1" applyFont="1" applyFill="1" applyBorder="1" applyAlignment="1">
      <alignment horizontal="center"/>
    </xf>
    <xf numFmtId="0" fontId="2" fillId="8" borderId="4" xfId="1" applyFont="1" applyFill="1" applyBorder="1" applyAlignment="1">
      <alignment horizontal="center"/>
    </xf>
    <xf numFmtId="0" fontId="8" fillId="3" borderId="12" xfId="1" applyFont="1" applyFill="1" applyBorder="1" applyAlignment="1">
      <alignment horizontal="center"/>
    </xf>
    <xf numFmtId="0" fontId="8" fillId="5" borderId="4" xfId="1" applyFont="1" applyFill="1" applyBorder="1" applyAlignment="1">
      <alignment horizontal="center"/>
    </xf>
    <xf numFmtId="0" fontId="2" fillId="9" borderId="4" xfId="1" applyFont="1" applyFill="1" applyBorder="1" applyAlignment="1">
      <alignment horizontal="center" wrapText="1"/>
    </xf>
    <xf numFmtId="15" fontId="2" fillId="9" borderId="4" xfId="1" applyNumberFormat="1" applyFont="1" applyFill="1" applyBorder="1" applyAlignment="1">
      <alignment horizontal="center"/>
    </xf>
    <xf numFmtId="1" fontId="2" fillId="9" borderId="4" xfId="1" applyNumberFormat="1" applyFont="1" applyFill="1" applyBorder="1" applyAlignment="1">
      <alignment horizontal="center"/>
    </xf>
    <xf numFmtId="0" fontId="8" fillId="9" borderId="4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11" fillId="10" borderId="19" xfId="0" applyFont="1" applyFill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/>
    </xf>
    <xf numFmtId="14" fontId="2" fillId="5" borderId="4" xfId="1" applyNumberFormat="1" applyFont="1" applyFill="1" applyBorder="1" applyAlignment="1">
      <alignment horizontal="center"/>
    </xf>
    <xf numFmtId="0" fontId="6" fillId="5" borderId="4" xfId="1" applyFont="1" applyFill="1" applyBorder="1" applyAlignment="1">
      <alignment horizontal="center"/>
    </xf>
    <xf numFmtId="0" fontId="2" fillId="8" borderId="0" xfId="1" applyFont="1" applyFill="1" applyAlignment="1">
      <alignment horizontal="center" wrapText="1"/>
    </xf>
    <xf numFmtId="14" fontId="2" fillId="8" borderId="4" xfId="1" applyNumberFormat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/>
    </xf>
    <xf numFmtId="164" fontId="2" fillId="0" borderId="12" xfId="1" applyNumberFormat="1" applyFont="1" applyBorder="1" applyAlignment="1">
      <alignment horizontal="center"/>
    </xf>
    <xf numFmtId="10" fontId="2" fillId="2" borderId="17" xfId="1" applyNumberFormat="1" applyFont="1" applyFill="1" applyBorder="1" applyAlignment="1">
      <alignment horizontal="center"/>
    </xf>
    <xf numFmtId="0" fontId="2" fillId="0" borderId="18" xfId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0" fontId="2" fillId="2" borderId="4" xfId="2" applyNumberFormat="1" applyFont="1" applyFill="1" applyBorder="1" applyAlignment="1">
      <alignment horizontal="center"/>
    </xf>
    <xf numFmtId="0" fontId="2" fillId="5" borderId="12" xfId="1" applyFont="1" applyFill="1" applyBorder="1" applyAlignment="1">
      <alignment horizontal="center" wrapText="1"/>
    </xf>
    <xf numFmtId="164" fontId="3" fillId="0" borderId="15" xfId="1" applyNumberFormat="1" applyFont="1" applyBorder="1" applyAlignment="1">
      <alignment horizontal="center"/>
    </xf>
    <xf numFmtId="10" fontId="2" fillId="0" borderId="18" xfId="2" applyNumberFormat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 applyAlignment="1">
      <alignment horizontal="center" wrapText="1"/>
    </xf>
    <xf numFmtId="15" fontId="3" fillId="0" borderId="4" xfId="1" applyNumberFormat="1" applyFont="1" applyBorder="1" applyAlignment="1">
      <alignment horizontal="center"/>
    </xf>
    <xf numFmtId="0" fontId="13" fillId="0" borderId="4" xfId="1" applyFont="1" applyBorder="1" applyAlignment="1">
      <alignment horizontal="center" wrapText="1"/>
    </xf>
    <xf numFmtId="1" fontId="14" fillId="0" borderId="4" xfId="1" applyNumberFormat="1" applyFont="1" applyBorder="1" applyAlignment="1">
      <alignment horizontal="center"/>
    </xf>
    <xf numFmtId="1" fontId="15" fillId="0" borderId="4" xfId="1" applyNumberFormat="1" applyFont="1" applyBorder="1" applyAlignment="1">
      <alignment horizontal="center"/>
    </xf>
    <xf numFmtId="10" fontId="3" fillId="5" borderId="4" xfId="2" applyNumberFormat="1" applyFont="1" applyFill="1" applyBorder="1" applyAlignment="1">
      <alignment horizontal="center"/>
    </xf>
    <xf numFmtId="10" fontId="3" fillId="0" borderId="4" xfId="2" applyNumberFormat="1" applyFont="1" applyBorder="1" applyAlignment="1">
      <alignment horizontal="center"/>
    </xf>
    <xf numFmtId="0" fontId="16" fillId="3" borderId="4" xfId="1" applyFont="1" applyFill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wrapText="1"/>
    </xf>
    <xf numFmtId="15" fontId="3" fillId="0" borderId="12" xfId="1" applyNumberFormat="1" applyFont="1" applyBorder="1" applyAlignment="1">
      <alignment horizontal="center"/>
    </xf>
    <xf numFmtId="0" fontId="13" fillId="0" borderId="0" xfId="1" applyFont="1" applyAlignment="1">
      <alignment horizontal="center" wrapText="1"/>
    </xf>
    <xf numFmtId="1" fontId="14" fillId="0" borderId="0" xfId="1" applyNumberFormat="1" applyFont="1" applyAlignment="1">
      <alignment horizontal="center"/>
    </xf>
    <xf numFmtId="1" fontId="15" fillId="0" borderId="0" xfId="1" applyNumberFormat="1" applyFont="1" applyAlignment="1">
      <alignment horizontal="center"/>
    </xf>
    <xf numFmtId="10" fontId="3" fillId="5" borderId="0" xfId="2" applyNumberFormat="1" applyFont="1" applyFill="1" applyBorder="1" applyAlignment="1">
      <alignment horizontal="center"/>
    </xf>
    <xf numFmtId="10" fontId="3" fillId="0" borderId="0" xfId="2" applyNumberFormat="1" applyFont="1" applyBorder="1" applyAlignment="1">
      <alignment horizontal="center"/>
    </xf>
    <xf numFmtId="0" fontId="16" fillId="3" borderId="0" xfId="1" applyFont="1" applyFill="1" applyAlignment="1">
      <alignment horizontal="center"/>
    </xf>
    <xf numFmtId="1" fontId="2" fillId="0" borderId="21" xfId="1" applyNumberFormat="1" applyFont="1" applyBorder="1" applyAlignment="1">
      <alignment horizontal="center"/>
    </xf>
    <xf numFmtId="10" fontId="2" fillId="0" borderId="0" xfId="1" applyNumberFormat="1" applyFont="1" applyAlignment="1">
      <alignment horizontal="center"/>
    </xf>
  </cellXfs>
  <cellStyles count="3">
    <cellStyle name="Normal" xfId="0" builtinId="0"/>
    <cellStyle name="Normal 2" xfId="1"/>
    <cellStyle name="Percent 3 2" xfId="2"/>
  </cellStyles>
  <dxfs count="11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3"/>
  <sheetViews>
    <sheetView tabSelected="1" workbookViewId="0">
      <selection activeCell="A94" sqref="A94:XFD124"/>
    </sheetView>
  </sheetViews>
  <sheetFormatPr defaultRowHeight="15" x14ac:dyDescent="0.25"/>
  <cols>
    <col min="1" max="1" width="5" customWidth="1"/>
    <col min="2" max="2" width="13.7109375" customWidth="1"/>
    <col min="3" max="3" width="57.85546875" customWidth="1"/>
    <col min="4" max="4" width="10" customWidth="1"/>
    <col min="5" max="5" width="9.7109375" bestFit="1" customWidth="1"/>
    <col min="6" max="6" width="8.7109375" customWidth="1"/>
    <col min="7" max="7" width="8" customWidth="1"/>
    <col min="8" max="8" width="9.85546875" customWidth="1"/>
    <col min="9" max="9" width="10.42578125" customWidth="1"/>
    <col min="10" max="10" width="10.42578125" bestFit="1" customWidth="1"/>
    <col min="14" max="14" width="11.85546875" bestFit="1" customWidth="1"/>
    <col min="15" max="15" width="12.28515625" customWidth="1"/>
    <col min="18" max="18" width="19.42578125" style="22" bestFit="1" customWidth="1"/>
    <col min="19" max="19" width="19.42578125" customWidth="1"/>
    <col min="20" max="20" width="15.5703125" bestFit="1" customWidth="1"/>
    <col min="22" max="22" width="14.28515625" bestFit="1" customWidth="1"/>
    <col min="257" max="257" width="5" customWidth="1"/>
    <col min="258" max="258" width="13.7109375" customWidth="1"/>
    <col min="259" max="259" width="57.85546875" customWidth="1"/>
    <col min="260" max="260" width="10" customWidth="1"/>
    <col min="261" max="261" width="9.7109375" bestFit="1" customWidth="1"/>
    <col min="262" max="262" width="8.7109375" customWidth="1"/>
    <col min="263" max="263" width="8" customWidth="1"/>
    <col min="264" max="264" width="9.85546875" customWidth="1"/>
    <col min="265" max="265" width="10.42578125" customWidth="1"/>
    <col min="266" max="266" width="10.42578125" bestFit="1" customWidth="1"/>
    <col min="270" max="270" width="11.85546875" bestFit="1" customWidth="1"/>
    <col min="271" max="271" width="12.28515625" customWidth="1"/>
    <col min="274" max="274" width="19.42578125" bestFit="1" customWidth="1"/>
    <col min="275" max="275" width="19.42578125" customWidth="1"/>
    <col min="276" max="276" width="15.5703125" bestFit="1" customWidth="1"/>
    <col min="278" max="278" width="14.28515625" bestFit="1" customWidth="1"/>
    <col min="513" max="513" width="5" customWidth="1"/>
    <col min="514" max="514" width="13.7109375" customWidth="1"/>
    <col min="515" max="515" width="57.85546875" customWidth="1"/>
    <col min="516" max="516" width="10" customWidth="1"/>
    <col min="517" max="517" width="9.7109375" bestFit="1" customWidth="1"/>
    <col min="518" max="518" width="8.7109375" customWidth="1"/>
    <col min="519" max="519" width="8" customWidth="1"/>
    <col min="520" max="520" width="9.85546875" customWidth="1"/>
    <col min="521" max="521" width="10.42578125" customWidth="1"/>
    <col min="522" max="522" width="10.42578125" bestFit="1" customWidth="1"/>
    <col min="526" max="526" width="11.85546875" bestFit="1" customWidth="1"/>
    <col min="527" max="527" width="12.28515625" customWidth="1"/>
    <col min="530" max="530" width="19.42578125" bestFit="1" customWidth="1"/>
    <col min="531" max="531" width="19.42578125" customWidth="1"/>
    <col min="532" max="532" width="15.5703125" bestFit="1" customWidth="1"/>
    <col min="534" max="534" width="14.28515625" bestFit="1" customWidth="1"/>
    <col min="769" max="769" width="5" customWidth="1"/>
    <col min="770" max="770" width="13.7109375" customWidth="1"/>
    <col min="771" max="771" width="57.85546875" customWidth="1"/>
    <col min="772" max="772" width="10" customWidth="1"/>
    <col min="773" max="773" width="9.7109375" bestFit="1" customWidth="1"/>
    <col min="774" max="774" width="8.7109375" customWidth="1"/>
    <col min="775" max="775" width="8" customWidth="1"/>
    <col min="776" max="776" width="9.85546875" customWidth="1"/>
    <col min="777" max="777" width="10.42578125" customWidth="1"/>
    <col min="778" max="778" width="10.42578125" bestFit="1" customWidth="1"/>
    <col min="782" max="782" width="11.85546875" bestFit="1" customWidth="1"/>
    <col min="783" max="783" width="12.28515625" customWidth="1"/>
    <col min="786" max="786" width="19.42578125" bestFit="1" customWidth="1"/>
    <col min="787" max="787" width="19.42578125" customWidth="1"/>
    <col min="788" max="788" width="15.5703125" bestFit="1" customWidth="1"/>
    <col min="790" max="790" width="14.28515625" bestFit="1" customWidth="1"/>
    <col min="1025" max="1025" width="5" customWidth="1"/>
    <col min="1026" max="1026" width="13.7109375" customWidth="1"/>
    <col min="1027" max="1027" width="57.85546875" customWidth="1"/>
    <col min="1028" max="1028" width="10" customWidth="1"/>
    <col min="1029" max="1029" width="9.7109375" bestFit="1" customWidth="1"/>
    <col min="1030" max="1030" width="8.7109375" customWidth="1"/>
    <col min="1031" max="1031" width="8" customWidth="1"/>
    <col min="1032" max="1032" width="9.85546875" customWidth="1"/>
    <col min="1033" max="1033" width="10.42578125" customWidth="1"/>
    <col min="1034" max="1034" width="10.42578125" bestFit="1" customWidth="1"/>
    <col min="1038" max="1038" width="11.85546875" bestFit="1" customWidth="1"/>
    <col min="1039" max="1039" width="12.28515625" customWidth="1"/>
    <col min="1042" max="1042" width="19.42578125" bestFit="1" customWidth="1"/>
    <col min="1043" max="1043" width="19.42578125" customWidth="1"/>
    <col min="1044" max="1044" width="15.5703125" bestFit="1" customWidth="1"/>
    <col min="1046" max="1046" width="14.28515625" bestFit="1" customWidth="1"/>
    <col min="1281" max="1281" width="5" customWidth="1"/>
    <col min="1282" max="1282" width="13.7109375" customWidth="1"/>
    <col min="1283" max="1283" width="57.85546875" customWidth="1"/>
    <col min="1284" max="1284" width="10" customWidth="1"/>
    <col min="1285" max="1285" width="9.7109375" bestFit="1" customWidth="1"/>
    <col min="1286" max="1286" width="8.7109375" customWidth="1"/>
    <col min="1287" max="1287" width="8" customWidth="1"/>
    <col min="1288" max="1288" width="9.85546875" customWidth="1"/>
    <col min="1289" max="1289" width="10.42578125" customWidth="1"/>
    <col min="1290" max="1290" width="10.42578125" bestFit="1" customWidth="1"/>
    <col min="1294" max="1294" width="11.85546875" bestFit="1" customWidth="1"/>
    <col min="1295" max="1295" width="12.28515625" customWidth="1"/>
    <col min="1298" max="1298" width="19.42578125" bestFit="1" customWidth="1"/>
    <col min="1299" max="1299" width="19.42578125" customWidth="1"/>
    <col min="1300" max="1300" width="15.5703125" bestFit="1" customWidth="1"/>
    <col min="1302" max="1302" width="14.28515625" bestFit="1" customWidth="1"/>
    <col min="1537" max="1537" width="5" customWidth="1"/>
    <col min="1538" max="1538" width="13.7109375" customWidth="1"/>
    <col min="1539" max="1539" width="57.85546875" customWidth="1"/>
    <col min="1540" max="1540" width="10" customWidth="1"/>
    <col min="1541" max="1541" width="9.7109375" bestFit="1" customWidth="1"/>
    <col min="1542" max="1542" width="8.7109375" customWidth="1"/>
    <col min="1543" max="1543" width="8" customWidth="1"/>
    <col min="1544" max="1544" width="9.85546875" customWidth="1"/>
    <col min="1545" max="1545" width="10.42578125" customWidth="1"/>
    <col min="1546" max="1546" width="10.42578125" bestFit="1" customWidth="1"/>
    <col min="1550" max="1550" width="11.85546875" bestFit="1" customWidth="1"/>
    <col min="1551" max="1551" width="12.28515625" customWidth="1"/>
    <col min="1554" max="1554" width="19.42578125" bestFit="1" customWidth="1"/>
    <col min="1555" max="1555" width="19.42578125" customWidth="1"/>
    <col min="1556" max="1556" width="15.5703125" bestFit="1" customWidth="1"/>
    <col min="1558" max="1558" width="14.28515625" bestFit="1" customWidth="1"/>
    <col min="1793" max="1793" width="5" customWidth="1"/>
    <col min="1794" max="1794" width="13.7109375" customWidth="1"/>
    <col min="1795" max="1795" width="57.85546875" customWidth="1"/>
    <col min="1796" max="1796" width="10" customWidth="1"/>
    <col min="1797" max="1797" width="9.7109375" bestFit="1" customWidth="1"/>
    <col min="1798" max="1798" width="8.7109375" customWidth="1"/>
    <col min="1799" max="1799" width="8" customWidth="1"/>
    <col min="1800" max="1800" width="9.85546875" customWidth="1"/>
    <col min="1801" max="1801" width="10.42578125" customWidth="1"/>
    <col min="1802" max="1802" width="10.42578125" bestFit="1" customWidth="1"/>
    <col min="1806" max="1806" width="11.85546875" bestFit="1" customWidth="1"/>
    <col min="1807" max="1807" width="12.28515625" customWidth="1"/>
    <col min="1810" max="1810" width="19.42578125" bestFit="1" customWidth="1"/>
    <col min="1811" max="1811" width="19.42578125" customWidth="1"/>
    <col min="1812" max="1812" width="15.5703125" bestFit="1" customWidth="1"/>
    <col min="1814" max="1814" width="14.28515625" bestFit="1" customWidth="1"/>
    <col min="2049" max="2049" width="5" customWidth="1"/>
    <col min="2050" max="2050" width="13.7109375" customWidth="1"/>
    <col min="2051" max="2051" width="57.85546875" customWidth="1"/>
    <col min="2052" max="2052" width="10" customWidth="1"/>
    <col min="2053" max="2053" width="9.7109375" bestFit="1" customWidth="1"/>
    <col min="2054" max="2054" width="8.7109375" customWidth="1"/>
    <col min="2055" max="2055" width="8" customWidth="1"/>
    <col min="2056" max="2056" width="9.85546875" customWidth="1"/>
    <col min="2057" max="2057" width="10.42578125" customWidth="1"/>
    <col min="2058" max="2058" width="10.42578125" bestFit="1" customWidth="1"/>
    <col min="2062" max="2062" width="11.85546875" bestFit="1" customWidth="1"/>
    <col min="2063" max="2063" width="12.28515625" customWidth="1"/>
    <col min="2066" max="2066" width="19.42578125" bestFit="1" customWidth="1"/>
    <col min="2067" max="2067" width="19.42578125" customWidth="1"/>
    <col min="2068" max="2068" width="15.5703125" bestFit="1" customWidth="1"/>
    <col min="2070" max="2070" width="14.28515625" bestFit="1" customWidth="1"/>
    <col min="2305" max="2305" width="5" customWidth="1"/>
    <col min="2306" max="2306" width="13.7109375" customWidth="1"/>
    <col min="2307" max="2307" width="57.85546875" customWidth="1"/>
    <col min="2308" max="2308" width="10" customWidth="1"/>
    <col min="2309" max="2309" width="9.7109375" bestFit="1" customWidth="1"/>
    <col min="2310" max="2310" width="8.7109375" customWidth="1"/>
    <col min="2311" max="2311" width="8" customWidth="1"/>
    <col min="2312" max="2312" width="9.85546875" customWidth="1"/>
    <col min="2313" max="2313" width="10.42578125" customWidth="1"/>
    <col min="2314" max="2314" width="10.42578125" bestFit="1" customWidth="1"/>
    <col min="2318" max="2318" width="11.85546875" bestFit="1" customWidth="1"/>
    <col min="2319" max="2319" width="12.28515625" customWidth="1"/>
    <col min="2322" max="2322" width="19.42578125" bestFit="1" customWidth="1"/>
    <col min="2323" max="2323" width="19.42578125" customWidth="1"/>
    <col min="2324" max="2324" width="15.5703125" bestFit="1" customWidth="1"/>
    <col min="2326" max="2326" width="14.28515625" bestFit="1" customWidth="1"/>
    <col min="2561" max="2561" width="5" customWidth="1"/>
    <col min="2562" max="2562" width="13.7109375" customWidth="1"/>
    <col min="2563" max="2563" width="57.85546875" customWidth="1"/>
    <col min="2564" max="2564" width="10" customWidth="1"/>
    <col min="2565" max="2565" width="9.7109375" bestFit="1" customWidth="1"/>
    <col min="2566" max="2566" width="8.7109375" customWidth="1"/>
    <col min="2567" max="2567" width="8" customWidth="1"/>
    <col min="2568" max="2568" width="9.85546875" customWidth="1"/>
    <col min="2569" max="2569" width="10.42578125" customWidth="1"/>
    <col min="2570" max="2570" width="10.42578125" bestFit="1" customWidth="1"/>
    <col min="2574" max="2574" width="11.85546875" bestFit="1" customWidth="1"/>
    <col min="2575" max="2575" width="12.28515625" customWidth="1"/>
    <col min="2578" max="2578" width="19.42578125" bestFit="1" customWidth="1"/>
    <col min="2579" max="2579" width="19.42578125" customWidth="1"/>
    <col min="2580" max="2580" width="15.5703125" bestFit="1" customWidth="1"/>
    <col min="2582" max="2582" width="14.28515625" bestFit="1" customWidth="1"/>
    <col min="2817" max="2817" width="5" customWidth="1"/>
    <col min="2818" max="2818" width="13.7109375" customWidth="1"/>
    <col min="2819" max="2819" width="57.85546875" customWidth="1"/>
    <col min="2820" max="2820" width="10" customWidth="1"/>
    <col min="2821" max="2821" width="9.7109375" bestFit="1" customWidth="1"/>
    <col min="2822" max="2822" width="8.7109375" customWidth="1"/>
    <col min="2823" max="2823" width="8" customWidth="1"/>
    <col min="2824" max="2824" width="9.85546875" customWidth="1"/>
    <col min="2825" max="2825" width="10.42578125" customWidth="1"/>
    <col min="2826" max="2826" width="10.42578125" bestFit="1" customWidth="1"/>
    <col min="2830" max="2830" width="11.85546875" bestFit="1" customWidth="1"/>
    <col min="2831" max="2831" width="12.28515625" customWidth="1"/>
    <col min="2834" max="2834" width="19.42578125" bestFit="1" customWidth="1"/>
    <col min="2835" max="2835" width="19.42578125" customWidth="1"/>
    <col min="2836" max="2836" width="15.5703125" bestFit="1" customWidth="1"/>
    <col min="2838" max="2838" width="14.28515625" bestFit="1" customWidth="1"/>
    <col min="3073" max="3073" width="5" customWidth="1"/>
    <col min="3074" max="3074" width="13.7109375" customWidth="1"/>
    <col min="3075" max="3075" width="57.85546875" customWidth="1"/>
    <col min="3076" max="3076" width="10" customWidth="1"/>
    <col min="3077" max="3077" width="9.7109375" bestFit="1" customWidth="1"/>
    <col min="3078" max="3078" width="8.7109375" customWidth="1"/>
    <col min="3079" max="3079" width="8" customWidth="1"/>
    <col min="3080" max="3080" width="9.85546875" customWidth="1"/>
    <col min="3081" max="3081" width="10.42578125" customWidth="1"/>
    <col min="3082" max="3082" width="10.42578125" bestFit="1" customWidth="1"/>
    <col min="3086" max="3086" width="11.85546875" bestFit="1" customWidth="1"/>
    <col min="3087" max="3087" width="12.28515625" customWidth="1"/>
    <col min="3090" max="3090" width="19.42578125" bestFit="1" customWidth="1"/>
    <col min="3091" max="3091" width="19.42578125" customWidth="1"/>
    <col min="3092" max="3092" width="15.5703125" bestFit="1" customWidth="1"/>
    <col min="3094" max="3094" width="14.28515625" bestFit="1" customWidth="1"/>
    <col min="3329" max="3329" width="5" customWidth="1"/>
    <col min="3330" max="3330" width="13.7109375" customWidth="1"/>
    <col min="3331" max="3331" width="57.85546875" customWidth="1"/>
    <col min="3332" max="3332" width="10" customWidth="1"/>
    <col min="3333" max="3333" width="9.7109375" bestFit="1" customWidth="1"/>
    <col min="3334" max="3334" width="8.7109375" customWidth="1"/>
    <col min="3335" max="3335" width="8" customWidth="1"/>
    <col min="3336" max="3336" width="9.85546875" customWidth="1"/>
    <col min="3337" max="3337" width="10.42578125" customWidth="1"/>
    <col min="3338" max="3338" width="10.42578125" bestFit="1" customWidth="1"/>
    <col min="3342" max="3342" width="11.85546875" bestFit="1" customWidth="1"/>
    <col min="3343" max="3343" width="12.28515625" customWidth="1"/>
    <col min="3346" max="3346" width="19.42578125" bestFit="1" customWidth="1"/>
    <col min="3347" max="3347" width="19.42578125" customWidth="1"/>
    <col min="3348" max="3348" width="15.5703125" bestFit="1" customWidth="1"/>
    <col min="3350" max="3350" width="14.28515625" bestFit="1" customWidth="1"/>
    <col min="3585" max="3585" width="5" customWidth="1"/>
    <col min="3586" max="3586" width="13.7109375" customWidth="1"/>
    <col min="3587" max="3587" width="57.85546875" customWidth="1"/>
    <col min="3588" max="3588" width="10" customWidth="1"/>
    <col min="3589" max="3589" width="9.7109375" bestFit="1" customWidth="1"/>
    <col min="3590" max="3590" width="8.7109375" customWidth="1"/>
    <col min="3591" max="3591" width="8" customWidth="1"/>
    <col min="3592" max="3592" width="9.85546875" customWidth="1"/>
    <col min="3593" max="3593" width="10.42578125" customWidth="1"/>
    <col min="3594" max="3594" width="10.42578125" bestFit="1" customWidth="1"/>
    <col min="3598" max="3598" width="11.85546875" bestFit="1" customWidth="1"/>
    <col min="3599" max="3599" width="12.28515625" customWidth="1"/>
    <col min="3602" max="3602" width="19.42578125" bestFit="1" customWidth="1"/>
    <col min="3603" max="3603" width="19.42578125" customWidth="1"/>
    <col min="3604" max="3604" width="15.5703125" bestFit="1" customWidth="1"/>
    <col min="3606" max="3606" width="14.28515625" bestFit="1" customWidth="1"/>
    <col min="3841" max="3841" width="5" customWidth="1"/>
    <col min="3842" max="3842" width="13.7109375" customWidth="1"/>
    <col min="3843" max="3843" width="57.85546875" customWidth="1"/>
    <col min="3844" max="3844" width="10" customWidth="1"/>
    <col min="3845" max="3845" width="9.7109375" bestFit="1" customWidth="1"/>
    <col min="3846" max="3846" width="8.7109375" customWidth="1"/>
    <col min="3847" max="3847" width="8" customWidth="1"/>
    <col min="3848" max="3848" width="9.85546875" customWidth="1"/>
    <col min="3849" max="3849" width="10.42578125" customWidth="1"/>
    <col min="3850" max="3850" width="10.42578125" bestFit="1" customWidth="1"/>
    <col min="3854" max="3854" width="11.85546875" bestFit="1" customWidth="1"/>
    <col min="3855" max="3855" width="12.28515625" customWidth="1"/>
    <col min="3858" max="3858" width="19.42578125" bestFit="1" customWidth="1"/>
    <col min="3859" max="3859" width="19.42578125" customWidth="1"/>
    <col min="3860" max="3860" width="15.5703125" bestFit="1" customWidth="1"/>
    <col min="3862" max="3862" width="14.28515625" bestFit="1" customWidth="1"/>
    <col min="4097" max="4097" width="5" customWidth="1"/>
    <col min="4098" max="4098" width="13.7109375" customWidth="1"/>
    <col min="4099" max="4099" width="57.85546875" customWidth="1"/>
    <col min="4100" max="4100" width="10" customWidth="1"/>
    <col min="4101" max="4101" width="9.7109375" bestFit="1" customWidth="1"/>
    <col min="4102" max="4102" width="8.7109375" customWidth="1"/>
    <col min="4103" max="4103" width="8" customWidth="1"/>
    <col min="4104" max="4104" width="9.85546875" customWidth="1"/>
    <col min="4105" max="4105" width="10.42578125" customWidth="1"/>
    <col min="4106" max="4106" width="10.42578125" bestFit="1" customWidth="1"/>
    <col min="4110" max="4110" width="11.85546875" bestFit="1" customWidth="1"/>
    <col min="4111" max="4111" width="12.28515625" customWidth="1"/>
    <col min="4114" max="4114" width="19.42578125" bestFit="1" customWidth="1"/>
    <col min="4115" max="4115" width="19.42578125" customWidth="1"/>
    <col min="4116" max="4116" width="15.5703125" bestFit="1" customWidth="1"/>
    <col min="4118" max="4118" width="14.28515625" bestFit="1" customWidth="1"/>
    <col min="4353" max="4353" width="5" customWidth="1"/>
    <col min="4354" max="4354" width="13.7109375" customWidth="1"/>
    <col min="4355" max="4355" width="57.85546875" customWidth="1"/>
    <col min="4356" max="4356" width="10" customWidth="1"/>
    <col min="4357" max="4357" width="9.7109375" bestFit="1" customWidth="1"/>
    <col min="4358" max="4358" width="8.7109375" customWidth="1"/>
    <col min="4359" max="4359" width="8" customWidth="1"/>
    <col min="4360" max="4360" width="9.85546875" customWidth="1"/>
    <col min="4361" max="4361" width="10.42578125" customWidth="1"/>
    <col min="4362" max="4362" width="10.42578125" bestFit="1" customWidth="1"/>
    <col min="4366" max="4366" width="11.85546875" bestFit="1" customWidth="1"/>
    <col min="4367" max="4367" width="12.28515625" customWidth="1"/>
    <col min="4370" max="4370" width="19.42578125" bestFit="1" customWidth="1"/>
    <col min="4371" max="4371" width="19.42578125" customWidth="1"/>
    <col min="4372" max="4372" width="15.5703125" bestFit="1" customWidth="1"/>
    <col min="4374" max="4374" width="14.28515625" bestFit="1" customWidth="1"/>
    <col min="4609" max="4609" width="5" customWidth="1"/>
    <col min="4610" max="4610" width="13.7109375" customWidth="1"/>
    <col min="4611" max="4611" width="57.85546875" customWidth="1"/>
    <col min="4612" max="4612" width="10" customWidth="1"/>
    <col min="4613" max="4613" width="9.7109375" bestFit="1" customWidth="1"/>
    <col min="4614" max="4614" width="8.7109375" customWidth="1"/>
    <col min="4615" max="4615" width="8" customWidth="1"/>
    <col min="4616" max="4616" width="9.85546875" customWidth="1"/>
    <col min="4617" max="4617" width="10.42578125" customWidth="1"/>
    <col min="4618" max="4618" width="10.42578125" bestFit="1" customWidth="1"/>
    <col min="4622" max="4622" width="11.85546875" bestFit="1" customWidth="1"/>
    <col min="4623" max="4623" width="12.28515625" customWidth="1"/>
    <col min="4626" max="4626" width="19.42578125" bestFit="1" customWidth="1"/>
    <col min="4627" max="4627" width="19.42578125" customWidth="1"/>
    <col min="4628" max="4628" width="15.5703125" bestFit="1" customWidth="1"/>
    <col min="4630" max="4630" width="14.28515625" bestFit="1" customWidth="1"/>
    <col min="4865" max="4865" width="5" customWidth="1"/>
    <col min="4866" max="4866" width="13.7109375" customWidth="1"/>
    <col min="4867" max="4867" width="57.85546875" customWidth="1"/>
    <col min="4868" max="4868" width="10" customWidth="1"/>
    <col min="4869" max="4869" width="9.7109375" bestFit="1" customWidth="1"/>
    <col min="4870" max="4870" width="8.7109375" customWidth="1"/>
    <col min="4871" max="4871" width="8" customWidth="1"/>
    <col min="4872" max="4872" width="9.85546875" customWidth="1"/>
    <col min="4873" max="4873" width="10.42578125" customWidth="1"/>
    <col min="4874" max="4874" width="10.42578125" bestFit="1" customWidth="1"/>
    <col min="4878" max="4878" width="11.85546875" bestFit="1" customWidth="1"/>
    <col min="4879" max="4879" width="12.28515625" customWidth="1"/>
    <col min="4882" max="4882" width="19.42578125" bestFit="1" customWidth="1"/>
    <col min="4883" max="4883" width="19.42578125" customWidth="1"/>
    <col min="4884" max="4884" width="15.5703125" bestFit="1" customWidth="1"/>
    <col min="4886" max="4886" width="14.28515625" bestFit="1" customWidth="1"/>
    <col min="5121" max="5121" width="5" customWidth="1"/>
    <col min="5122" max="5122" width="13.7109375" customWidth="1"/>
    <col min="5123" max="5123" width="57.85546875" customWidth="1"/>
    <col min="5124" max="5124" width="10" customWidth="1"/>
    <col min="5125" max="5125" width="9.7109375" bestFit="1" customWidth="1"/>
    <col min="5126" max="5126" width="8.7109375" customWidth="1"/>
    <col min="5127" max="5127" width="8" customWidth="1"/>
    <col min="5128" max="5128" width="9.85546875" customWidth="1"/>
    <col min="5129" max="5129" width="10.42578125" customWidth="1"/>
    <col min="5130" max="5130" width="10.42578125" bestFit="1" customWidth="1"/>
    <col min="5134" max="5134" width="11.85546875" bestFit="1" customWidth="1"/>
    <col min="5135" max="5135" width="12.28515625" customWidth="1"/>
    <col min="5138" max="5138" width="19.42578125" bestFit="1" customWidth="1"/>
    <col min="5139" max="5139" width="19.42578125" customWidth="1"/>
    <col min="5140" max="5140" width="15.5703125" bestFit="1" customWidth="1"/>
    <col min="5142" max="5142" width="14.28515625" bestFit="1" customWidth="1"/>
    <col min="5377" max="5377" width="5" customWidth="1"/>
    <col min="5378" max="5378" width="13.7109375" customWidth="1"/>
    <col min="5379" max="5379" width="57.85546875" customWidth="1"/>
    <col min="5380" max="5380" width="10" customWidth="1"/>
    <col min="5381" max="5381" width="9.7109375" bestFit="1" customWidth="1"/>
    <col min="5382" max="5382" width="8.7109375" customWidth="1"/>
    <col min="5383" max="5383" width="8" customWidth="1"/>
    <col min="5384" max="5384" width="9.85546875" customWidth="1"/>
    <col min="5385" max="5385" width="10.42578125" customWidth="1"/>
    <col min="5386" max="5386" width="10.42578125" bestFit="1" customWidth="1"/>
    <col min="5390" max="5390" width="11.85546875" bestFit="1" customWidth="1"/>
    <col min="5391" max="5391" width="12.28515625" customWidth="1"/>
    <col min="5394" max="5394" width="19.42578125" bestFit="1" customWidth="1"/>
    <col min="5395" max="5395" width="19.42578125" customWidth="1"/>
    <col min="5396" max="5396" width="15.5703125" bestFit="1" customWidth="1"/>
    <col min="5398" max="5398" width="14.28515625" bestFit="1" customWidth="1"/>
    <col min="5633" max="5633" width="5" customWidth="1"/>
    <col min="5634" max="5634" width="13.7109375" customWidth="1"/>
    <col min="5635" max="5635" width="57.85546875" customWidth="1"/>
    <col min="5636" max="5636" width="10" customWidth="1"/>
    <col min="5637" max="5637" width="9.7109375" bestFit="1" customWidth="1"/>
    <col min="5638" max="5638" width="8.7109375" customWidth="1"/>
    <col min="5639" max="5639" width="8" customWidth="1"/>
    <col min="5640" max="5640" width="9.85546875" customWidth="1"/>
    <col min="5641" max="5641" width="10.42578125" customWidth="1"/>
    <col min="5642" max="5642" width="10.42578125" bestFit="1" customWidth="1"/>
    <col min="5646" max="5646" width="11.85546875" bestFit="1" customWidth="1"/>
    <col min="5647" max="5647" width="12.28515625" customWidth="1"/>
    <col min="5650" max="5650" width="19.42578125" bestFit="1" customWidth="1"/>
    <col min="5651" max="5651" width="19.42578125" customWidth="1"/>
    <col min="5652" max="5652" width="15.5703125" bestFit="1" customWidth="1"/>
    <col min="5654" max="5654" width="14.28515625" bestFit="1" customWidth="1"/>
    <col min="5889" max="5889" width="5" customWidth="1"/>
    <col min="5890" max="5890" width="13.7109375" customWidth="1"/>
    <col min="5891" max="5891" width="57.85546875" customWidth="1"/>
    <col min="5892" max="5892" width="10" customWidth="1"/>
    <col min="5893" max="5893" width="9.7109375" bestFit="1" customWidth="1"/>
    <col min="5894" max="5894" width="8.7109375" customWidth="1"/>
    <col min="5895" max="5895" width="8" customWidth="1"/>
    <col min="5896" max="5896" width="9.85546875" customWidth="1"/>
    <col min="5897" max="5897" width="10.42578125" customWidth="1"/>
    <col min="5898" max="5898" width="10.42578125" bestFit="1" customWidth="1"/>
    <col min="5902" max="5902" width="11.85546875" bestFit="1" customWidth="1"/>
    <col min="5903" max="5903" width="12.28515625" customWidth="1"/>
    <col min="5906" max="5906" width="19.42578125" bestFit="1" customWidth="1"/>
    <col min="5907" max="5907" width="19.42578125" customWidth="1"/>
    <col min="5908" max="5908" width="15.5703125" bestFit="1" customWidth="1"/>
    <col min="5910" max="5910" width="14.28515625" bestFit="1" customWidth="1"/>
    <col min="6145" max="6145" width="5" customWidth="1"/>
    <col min="6146" max="6146" width="13.7109375" customWidth="1"/>
    <col min="6147" max="6147" width="57.85546875" customWidth="1"/>
    <col min="6148" max="6148" width="10" customWidth="1"/>
    <col min="6149" max="6149" width="9.7109375" bestFit="1" customWidth="1"/>
    <col min="6150" max="6150" width="8.7109375" customWidth="1"/>
    <col min="6151" max="6151" width="8" customWidth="1"/>
    <col min="6152" max="6152" width="9.85546875" customWidth="1"/>
    <col min="6153" max="6153" width="10.42578125" customWidth="1"/>
    <col min="6154" max="6154" width="10.42578125" bestFit="1" customWidth="1"/>
    <col min="6158" max="6158" width="11.85546875" bestFit="1" customWidth="1"/>
    <col min="6159" max="6159" width="12.28515625" customWidth="1"/>
    <col min="6162" max="6162" width="19.42578125" bestFit="1" customWidth="1"/>
    <col min="6163" max="6163" width="19.42578125" customWidth="1"/>
    <col min="6164" max="6164" width="15.5703125" bestFit="1" customWidth="1"/>
    <col min="6166" max="6166" width="14.28515625" bestFit="1" customWidth="1"/>
    <col min="6401" max="6401" width="5" customWidth="1"/>
    <col min="6402" max="6402" width="13.7109375" customWidth="1"/>
    <col min="6403" max="6403" width="57.85546875" customWidth="1"/>
    <col min="6404" max="6404" width="10" customWidth="1"/>
    <col min="6405" max="6405" width="9.7109375" bestFit="1" customWidth="1"/>
    <col min="6406" max="6406" width="8.7109375" customWidth="1"/>
    <col min="6407" max="6407" width="8" customWidth="1"/>
    <col min="6408" max="6408" width="9.85546875" customWidth="1"/>
    <col min="6409" max="6409" width="10.42578125" customWidth="1"/>
    <col min="6410" max="6410" width="10.42578125" bestFit="1" customWidth="1"/>
    <col min="6414" max="6414" width="11.85546875" bestFit="1" customWidth="1"/>
    <col min="6415" max="6415" width="12.28515625" customWidth="1"/>
    <col min="6418" max="6418" width="19.42578125" bestFit="1" customWidth="1"/>
    <col min="6419" max="6419" width="19.42578125" customWidth="1"/>
    <col min="6420" max="6420" width="15.5703125" bestFit="1" customWidth="1"/>
    <col min="6422" max="6422" width="14.28515625" bestFit="1" customWidth="1"/>
    <col min="6657" max="6657" width="5" customWidth="1"/>
    <col min="6658" max="6658" width="13.7109375" customWidth="1"/>
    <col min="6659" max="6659" width="57.85546875" customWidth="1"/>
    <col min="6660" max="6660" width="10" customWidth="1"/>
    <col min="6661" max="6661" width="9.7109375" bestFit="1" customWidth="1"/>
    <col min="6662" max="6662" width="8.7109375" customWidth="1"/>
    <col min="6663" max="6663" width="8" customWidth="1"/>
    <col min="6664" max="6664" width="9.85546875" customWidth="1"/>
    <col min="6665" max="6665" width="10.42578125" customWidth="1"/>
    <col min="6666" max="6666" width="10.42578125" bestFit="1" customWidth="1"/>
    <col min="6670" max="6670" width="11.85546875" bestFit="1" customWidth="1"/>
    <col min="6671" max="6671" width="12.28515625" customWidth="1"/>
    <col min="6674" max="6674" width="19.42578125" bestFit="1" customWidth="1"/>
    <col min="6675" max="6675" width="19.42578125" customWidth="1"/>
    <col min="6676" max="6676" width="15.5703125" bestFit="1" customWidth="1"/>
    <col min="6678" max="6678" width="14.28515625" bestFit="1" customWidth="1"/>
    <col min="6913" max="6913" width="5" customWidth="1"/>
    <col min="6914" max="6914" width="13.7109375" customWidth="1"/>
    <col min="6915" max="6915" width="57.85546875" customWidth="1"/>
    <col min="6916" max="6916" width="10" customWidth="1"/>
    <col min="6917" max="6917" width="9.7109375" bestFit="1" customWidth="1"/>
    <col min="6918" max="6918" width="8.7109375" customWidth="1"/>
    <col min="6919" max="6919" width="8" customWidth="1"/>
    <col min="6920" max="6920" width="9.85546875" customWidth="1"/>
    <col min="6921" max="6921" width="10.42578125" customWidth="1"/>
    <col min="6922" max="6922" width="10.42578125" bestFit="1" customWidth="1"/>
    <col min="6926" max="6926" width="11.85546875" bestFit="1" customWidth="1"/>
    <col min="6927" max="6927" width="12.28515625" customWidth="1"/>
    <col min="6930" max="6930" width="19.42578125" bestFit="1" customWidth="1"/>
    <col min="6931" max="6931" width="19.42578125" customWidth="1"/>
    <col min="6932" max="6932" width="15.5703125" bestFit="1" customWidth="1"/>
    <col min="6934" max="6934" width="14.28515625" bestFit="1" customWidth="1"/>
    <col min="7169" max="7169" width="5" customWidth="1"/>
    <col min="7170" max="7170" width="13.7109375" customWidth="1"/>
    <col min="7171" max="7171" width="57.85546875" customWidth="1"/>
    <col min="7172" max="7172" width="10" customWidth="1"/>
    <col min="7173" max="7173" width="9.7109375" bestFit="1" customWidth="1"/>
    <col min="7174" max="7174" width="8.7109375" customWidth="1"/>
    <col min="7175" max="7175" width="8" customWidth="1"/>
    <col min="7176" max="7176" width="9.85546875" customWidth="1"/>
    <col min="7177" max="7177" width="10.42578125" customWidth="1"/>
    <col min="7178" max="7178" width="10.42578125" bestFit="1" customWidth="1"/>
    <col min="7182" max="7182" width="11.85546875" bestFit="1" customWidth="1"/>
    <col min="7183" max="7183" width="12.28515625" customWidth="1"/>
    <col min="7186" max="7186" width="19.42578125" bestFit="1" customWidth="1"/>
    <col min="7187" max="7187" width="19.42578125" customWidth="1"/>
    <col min="7188" max="7188" width="15.5703125" bestFit="1" customWidth="1"/>
    <col min="7190" max="7190" width="14.28515625" bestFit="1" customWidth="1"/>
    <col min="7425" max="7425" width="5" customWidth="1"/>
    <col min="7426" max="7426" width="13.7109375" customWidth="1"/>
    <col min="7427" max="7427" width="57.85546875" customWidth="1"/>
    <col min="7428" max="7428" width="10" customWidth="1"/>
    <col min="7429" max="7429" width="9.7109375" bestFit="1" customWidth="1"/>
    <col min="7430" max="7430" width="8.7109375" customWidth="1"/>
    <col min="7431" max="7431" width="8" customWidth="1"/>
    <col min="7432" max="7432" width="9.85546875" customWidth="1"/>
    <col min="7433" max="7433" width="10.42578125" customWidth="1"/>
    <col min="7434" max="7434" width="10.42578125" bestFit="1" customWidth="1"/>
    <col min="7438" max="7438" width="11.85546875" bestFit="1" customWidth="1"/>
    <col min="7439" max="7439" width="12.28515625" customWidth="1"/>
    <col min="7442" max="7442" width="19.42578125" bestFit="1" customWidth="1"/>
    <col min="7443" max="7443" width="19.42578125" customWidth="1"/>
    <col min="7444" max="7444" width="15.5703125" bestFit="1" customWidth="1"/>
    <col min="7446" max="7446" width="14.28515625" bestFit="1" customWidth="1"/>
    <col min="7681" max="7681" width="5" customWidth="1"/>
    <col min="7682" max="7682" width="13.7109375" customWidth="1"/>
    <col min="7683" max="7683" width="57.85546875" customWidth="1"/>
    <col min="7684" max="7684" width="10" customWidth="1"/>
    <col min="7685" max="7685" width="9.7109375" bestFit="1" customWidth="1"/>
    <col min="7686" max="7686" width="8.7109375" customWidth="1"/>
    <col min="7687" max="7687" width="8" customWidth="1"/>
    <col min="7688" max="7688" width="9.85546875" customWidth="1"/>
    <col min="7689" max="7689" width="10.42578125" customWidth="1"/>
    <col min="7690" max="7690" width="10.42578125" bestFit="1" customWidth="1"/>
    <col min="7694" max="7694" width="11.85546875" bestFit="1" customWidth="1"/>
    <col min="7695" max="7695" width="12.28515625" customWidth="1"/>
    <col min="7698" max="7698" width="19.42578125" bestFit="1" customWidth="1"/>
    <col min="7699" max="7699" width="19.42578125" customWidth="1"/>
    <col min="7700" max="7700" width="15.5703125" bestFit="1" customWidth="1"/>
    <col min="7702" max="7702" width="14.28515625" bestFit="1" customWidth="1"/>
    <col min="7937" max="7937" width="5" customWidth="1"/>
    <col min="7938" max="7938" width="13.7109375" customWidth="1"/>
    <col min="7939" max="7939" width="57.85546875" customWidth="1"/>
    <col min="7940" max="7940" width="10" customWidth="1"/>
    <col min="7941" max="7941" width="9.7109375" bestFit="1" customWidth="1"/>
    <col min="7942" max="7942" width="8.7109375" customWidth="1"/>
    <col min="7943" max="7943" width="8" customWidth="1"/>
    <col min="7944" max="7944" width="9.85546875" customWidth="1"/>
    <col min="7945" max="7945" width="10.42578125" customWidth="1"/>
    <col min="7946" max="7946" width="10.42578125" bestFit="1" customWidth="1"/>
    <col min="7950" max="7950" width="11.85546875" bestFit="1" customWidth="1"/>
    <col min="7951" max="7951" width="12.28515625" customWidth="1"/>
    <col min="7954" max="7954" width="19.42578125" bestFit="1" customWidth="1"/>
    <col min="7955" max="7955" width="19.42578125" customWidth="1"/>
    <col min="7956" max="7956" width="15.5703125" bestFit="1" customWidth="1"/>
    <col min="7958" max="7958" width="14.28515625" bestFit="1" customWidth="1"/>
    <col min="8193" max="8193" width="5" customWidth="1"/>
    <col min="8194" max="8194" width="13.7109375" customWidth="1"/>
    <col min="8195" max="8195" width="57.85546875" customWidth="1"/>
    <col min="8196" max="8196" width="10" customWidth="1"/>
    <col min="8197" max="8197" width="9.7109375" bestFit="1" customWidth="1"/>
    <col min="8198" max="8198" width="8.7109375" customWidth="1"/>
    <col min="8199" max="8199" width="8" customWidth="1"/>
    <col min="8200" max="8200" width="9.85546875" customWidth="1"/>
    <col min="8201" max="8201" width="10.42578125" customWidth="1"/>
    <col min="8202" max="8202" width="10.42578125" bestFit="1" customWidth="1"/>
    <col min="8206" max="8206" width="11.85546875" bestFit="1" customWidth="1"/>
    <col min="8207" max="8207" width="12.28515625" customWidth="1"/>
    <col min="8210" max="8210" width="19.42578125" bestFit="1" customWidth="1"/>
    <col min="8211" max="8211" width="19.42578125" customWidth="1"/>
    <col min="8212" max="8212" width="15.5703125" bestFit="1" customWidth="1"/>
    <col min="8214" max="8214" width="14.28515625" bestFit="1" customWidth="1"/>
    <col min="8449" max="8449" width="5" customWidth="1"/>
    <col min="8450" max="8450" width="13.7109375" customWidth="1"/>
    <col min="8451" max="8451" width="57.85546875" customWidth="1"/>
    <col min="8452" max="8452" width="10" customWidth="1"/>
    <col min="8453" max="8453" width="9.7109375" bestFit="1" customWidth="1"/>
    <col min="8454" max="8454" width="8.7109375" customWidth="1"/>
    <col min="8455" max="8455" width="8" customWidth="1"/>
    <col min="8456" max="8456" width="9.85546875" customWidth="1"/>
    <col min="8457" max="8457" width="10.42578125" customWidth="1"/>
    <col min="8458" max="8458" width="10.42578125" bestFit="1" customWidth="1"/>
    <col min="8462" max="8462" width="11.85546875" bestFit="1" customWidth="1"/>
    <col min="8463" max="8463" width="12.28515625" customWidth="1"/>
    <col min="8466" max="8466" width="19.42578125" bestFit="1" customWidth="1"/>
    <col min="8467" max="8467" width="19.42578125" customWidth="1"/>
    <col min="8468" max="8468" width="15.5703125" bestFit="1" customWidth="1"/>
    <col min="8470" max="8470" width="14.28515625" bestFit="1" customWidth="1"/>
    <col min="8705" max="8705" width="5" customWidth="1"/>
    <col min="8706" max="8706" width="13.7109375" customWidth="1"/>
    <col min="8707" max="8707" width="57.85546875" customWidth="1"/>
    <col min="8708" max="8708" width="10" customWidth="1"/>
    <col min="8709" max="8709" width="9.7109375" bestFit="1" customWidth="1"/>
    <col min="8710" max="8710" width="8.7109375" customWidth="1"/>
    <col min="8711" max="8711" width="8" customWidth="1"/>
    <col min="8712" max="8712" width="9.85546875" customWidth="1"/>
    <col min="8713" max="8713" width="10.42578125" customWidth="1"/>
    <col min="8714" max="8714" width="10.42578125" bestFit="1" customWidth="1"/>
    <col min="8718" max="8718" width="11.85546875" bestFit="1" customWidth="1"/>
    <col min="8719" max="8719" width="12.28515625" customWidth="1"/>
    <col min="8722" max="8722" width="19.42578125" bestFit="1" customWidth="1"/>
    <col min="8723" max="8723" width="19.42578125" customWidth="1"/>
    <col min="8724" max="8724" width="15.5703125" bestFit="1" customWidth="1"/>
    <col min="8726" max="8726" width="14.28515625" bestFit="1" customWidth="1"/>
    <col min="8961" max="8961" width="5" customWidth="1"/>
    <col min="8962" max="8962" width="13.7109375" customWidth="1"/>
    <col min="8963" max="8963" width="57.85546875" customWidth="1"/>
    <col min="8964" max="8964" width="10" customWidth="1"/>
    <col min="8965" max="8965" width="9.7109375" bestFit="1" customWidth="1"/>
    <col min="8966" max="8966" width="8.7109375" customWidth="1"/>
    <col min="8967" max="8967" width="8" customWidth="1"/>
    <col min="8968" max="8968" width="9.85546875" customWidth="1"/>
    <col min="8969" max="8969" width="10.42578125" customWidth="1"/>
    <col min="8970" max="8970" width="10.42578125" bestFit="1" customWidth="1"/>
    <col min="8974" max="8974" width="11.85546875" bestFit="1" customWidth="1"/>
    <col min="8975" max="8975" width="12.28515625" customWidth="1"/>
    <col min="8978" max="8978" width="19.42578125" bestFit="1" customWidth="1"/>
    <col min="8979" max="8979" width="19.42578125" customWidth="1"/>
    <col min="8980" max="8980" width="15.5703125" bestFit="1" customWidth="1"/>
    <col min="8982" max="8982" width="14.28515625" bestFit="1" customWidth="1"/>
    <col min="9217" max="9217" width="5" customWidth="1"/>
    <col min="9218" max="9218" width="13.7109375" customWidth="1"/>
    <col min="9219" max="9219" width="57.85546875" customWidth="1"/>
    <col min="9220" max="9220" width="10" customWidth="1"/>
    <col min="9221" max="9221" width="9.7109375" bestFit="1" customWidth="1"/>
    <col min="9222" max="9222" width="8.7109375" customWidth="1"/>
    <col min="9223" max="9223" width="8" customWidth="1"/>
    <col min="9224" max="9224" width="9.85546875" customWidth="1"/>
    <col min="9225" max="9225" width="10.42578125" customWidth="1"/>
    <col min="9226" max="9226" width="10.42578125" bestFit="1" customWidth="1"/>
    <col min="9230" max="9230" width="11.85546875" bestFit="1" customWidth="1"/>
    <col min="9231" max="9231" width="12.28515625" customWidth="1"/>
    <col min="9234" max="9234" width="19.42578125" bestFit="1" customWidth="1"/>
    <col min="9235" max="9235" width="19.42578125" customWidth="1"/>
    <col min="9236" max="9236" width="15.5703125" bestFit="1" customWidth="1"/>
    <col min="9238" max="9238" width="14.28515625" bestFit="1" customWidth="1"/>
    <col min="9473" max="9473" width="5" customWidth="1"/>
    <col min="9474" max="9474" width="13.7109375" customWidth="1"/>
    <col min="9475" max="9475" width="57.85546875" customWidth="1"/>
    <col min="9476" max="9476" width="10" customWidth="1"/>
    <col min="9477" max="9477" width="9.7109375" bestFit="1" customWidth="1"/>
    <col min="9478" max="9478" width="8.7109375" customWidth="1"/>
    <col min="9479" max="9479" width="8" customWidth="1"/>
    <col min="9480" max="9480" width="9.85546875" customWidth="1"/>
    <col min="9481" max="9481" width="10.42578125" customWidth="1"/>
    <col min="9482" max="9482" width="10.42578125" bestFit="1" customWidth="1"/>
    <col min="9486" max="9486" width="11.85546875" bestFit="1" customWidth="1"/>
    <col min="9487" max="9487" width="12.28515625" customWidth="1"/>
    <col min="9490" max="9490" width="19.42578125" bestFit="1" customWidth="1"/>
    <col min="9491" max="9491" width="19.42578125" customWidth="1"/>
    <col min="9492" max="9492" width="15.5703125" bestFit="1" customWidth="1"/>
    <col min="9494" max="9494" width="14.28515625" bestFit="1" customWidth="1"/>
    <col min="9729" max="9729" width="5" customWidth="1"/>
    <col min="9730" max="9730" width="13.7109375" customWidth="1"/>
    <col min="9731" max="9731" width="57.85546875" customWidth="1"/>
    <col min="9732" max="9732" width="10" customWidth="1"/>
    <col min="9733" max="9733" width="9.7109375" bestFit="1" customWidth="1"/>
    <col min="9734" max="9734" width="8.7109375" customWidth="1"/>
    <col min="9735" max="9735" width="8" customWidth="1"/>
    <col min="9736" max="9736" width="9.85546875" customWidth="1"/>
    <col min="9737" max="9737" width="10.42578125" customWidth="1"/>
    <col min="9738" max="9738" width="10.42578125" bestFit="1" customWidth="1"/>
    <col min="9742" max="9742" width="11.85546875" bestFit="1" customWidth="1"/>
    <col min="9743" max="9743" width="12.28515625" customWidth="1"/>
    <col min="9746" max="9746" width="19.42578125" bestFit="1" customWidth="1"/>
    <col min="9747" max="9747" width="19.42578125" customWidth="1"/>
    <col min="9748" max="9748" width="15.5703125" bestFit="1" customWidth="1"/>
    <col min="9750" max="9750" width="14.28515625" bestFit="1" customWidth="1"/>
    <col min="9985" max="9985" width="5" customWidth="1"/>
    <col min="9986" max="9986" width="13.7109375" customWidth="1"/>
    <col min="9987" max="9987" width="57.85546875" customWidth="1"/>
    <col min="9988" max="9988" width="10" customWidth="1"/>
    <col min="9989" max="9989" width="9.7109375" bestFit="1" customWidth="1"/>
    <col min="9990" max="9990" width="8.7109375" customWidth="1"/>
    <col min="9991" max="9991" width="8" customWidth="1"/>
    <col min="9992" max="9992" width="9.85546875" customWidth="1"/>
    <col min="9993" max="9993" width="10.42578125" customWidth="1"/>
    <col min="9994" max="9994" width="10.42578125" bestFit="1" customWidth="1"/>
    <col min="9998" max="9998" width="11.85546875" bestFit="1" customWidth="1"/>
    <col min="9999" max="9999" width="12.28515625" customWidth="1"/>
    <col min="10002" max="10002" width="19.42578125" bestFit="1" customWidth="1"/>
    <col min="10003" max="10003" width="19.42578125" customWidth="1"/>
    <col min="10004" max="10004" width="15.5703125" bestFit="1" customWidth="1"/>
    <col min="10006" max="10006" width="14.28515625" bestFit="1" customWidth="1"/>
    <col min="10241" max="10241" width="5" customWidth="1"/>
    <col min="10242" max="10242" width="13.7109375" customWidth="1"/>
    <col min="10243" max="10243" width="57.85546875" customWidth="1"/>
    <col min="10244" max="10244" width="10" customWidth="1"/>
    <col min="10245" max="10245" width="9.7109375" bestFit="1" customWidth="1"/>
    <col min="10246" max="10246" width="8.7109375" customWidth="1"/>
    <col min="10247" max="10247" width="8" customWidth="1"/>
    <col min="10248" max="10248" width="9.85546875" customWidth="1"/>
    <col min="10249" max="10249" width="10.42578125" customWidth="1"/>
    <col min="10250" max="10250" width="10.42578125" bestFit="1" customWidth="1"/>
    <col min="10254" max="10254" width="11.85546875" bestFit="1" customWidth="1"/>
    <col min="10255" max="10255" width="12.28515625" customWidth="1"/>
    <col min="10258" max="10258" width="19.42578125" bestFit="1" customWidth="1"/>
    <col min="10259" max="10259" width="19.42578125" customWidth="1"/>
    <col min="10260" max="10260" width="15.5703125" bestFit="1" customWidth="1"/>
    <col min="10262" max="10262" width="14.28515625" bestFit="1" customWidth="1"/>
    <col min="10497" max="10497" width="5" customWidth="1"/>
    <col min="10498" max="10498" width="13.7109375" customWidth="1"/>
    <col min="10499" max="10499" width="57.85546875" customWidth="1"/>
    <col min="10500" max="10500" width="10" customWidth="1"/>
    <col min="10501" max="10501" width="9.7109375" bestFit="1" customWidth="1"/>
    <col min="10502" max="10502" width="8.7109375" customWidth="1"/>
    <col min="10503" max="10503" width="8" customWidth="1"/>
    <col min="10504" max="10504" width="9.85546875" customWidth="1"/>
    <col min="10505" max="10505" width="10.42578125" customWidth="1"/>
    <col min="10506" max="10506" width="10.42578125" bestFit="1" customWidth="1"/>
    <col min="10510" max="10510" width="11.85546875" bestFit="1" customWidth="1"/>
    <col min="10511" max="10511" width="12.28515625" customWidth="1"/>
    <col min="10514" max="10514" width="19.42578125" bestFit="1" customWidth="1"/>
    <col min="10515" max="10515" width="19.42578125" customWidth="1"/>
    <col min="10516" max="10516" width="15.5703125" bestFit="1" customWidth="1"/>
    <col min="10518" max="10518" width="14.28515625" bestFit="1" customWidth="1"/>
    <col min="10753" max="10753" width="5" customWidth="1"/>
    <col min="10754" max="10754" width="13.7109375" customWidth="1"/>
    <col min="10755" max="10755" width="57.85546875" customWidth="1"/>
    <col min="10756" max="10756" width="10" customWidth="1"/>
    <col min="10757" max="10757" width="9.7109375" bestFit="1" customWidth="1"/>
    <col min="10758" max="10758" width="8.7109375" customWidth="1"/>
    <col min="10759" max="10759" width="8" customWidth="1"/>
    <col min="10760" max="10760" width="9.85546875" customWidth="1"/>
    <col min="10761" max="10761" width="10.42578125" customWidth="1"/>
    <col min="10762" max="10762" width="10.42578125" bestFit="1" customWidth="1"/>
    <col min="10766" max="10766" width="11.85546875" bestFit="1" customWidth="1"/>
    <col min="10767" max="10767" width="12.28515625" customWidth="1"/>
    <col min="10770" max="10770" width="19.42578125" bestFit="1" customWidth="1"/>
    <col min="10771" max="10771" width="19.42578125" customWidth="1"/>
    <col min="10772" max="10772" width="15.5703125" bestFit="1" customWidth="1"/>
    <col min="10774" max="10774" width="14.28515625" bestFit="1" customWidth="1"/>
    <col min="11009" max="11009" width="5" customWidth="1"/>
    <col min="11010" max="11010" width="13.7109375" customWidth="1"/>
    <col min="11011" max="11011" width="57.85546875" customWidth="1"/>
    <col min="11012" max="11012" width="10" customWidth="1"/>
    <col min="11013" max="11013" width="9.7109375" bestFit="1" customWidth="1"/>
    <col min="11014" max="11014" width="8.7109375" customWidth="1"/>
    <col min="11015" max="11015" width="8" customWidth="1"/>
    <col min="11016" max="11016" width="9.85546875" customWidth="1"/>
    <col min="11017" max="11017" width="10.42578125" customWidth="1"/>
    <col min="11018" max="11018" width="10.42578125" bestFit="1" customWidth="1"/>
    <col min="11022" max="11022" width="11.85546875" bestFit="1" customWidth="1"/>
    <col min="11023" max="11023" width="12.28515625" customWidth="1"/>
    <col min="11026" max="11026" width="19.42578125" bestFit="1" customWidth="1"/>
    <col min="11027" max="11027" width="19.42578125" customWidth="1"/>
    <col min="11028" max="11028" width="15.5703125" bestFit="1" customWidth="1"/>
    <col min="11030" max="11030" width="14.28515625" bestFit="1" customWidth="1"/>
    <col min="11265" max="11265" width="5" customWidth="1"/>
    <col min="11266" max="11266" width="13.7109375" customWidth="1"/>
    <col min="11267" max="11267" width="57.85546875" customWidth="1"/>
    <col min="11268" max="11268" width="10" customWidth="1"/>
    <col min="11269" max="11269" width="9.7109375" bestFit="1" customWidth="1"/>
    <col min="11270" max="11270" width="8.7109375" customWidth="1"/>
    <col min="11271" max="11271" width="8" customWidth="1"/>
    <col min="11272" max="11272" width="9.85546875" customWidth="1"/>
    <col min="11273" max="11273" width="10.42578125" customWidth="1"/>
    <col min="11274" max="11274" width="10.42578125" bestFit="1" customWidth="1"/>
    <col min="11278" max="11278" width="11.85546875" bestFit="1" customWidth="1"/>
    <col min="11279" max="11279" width="12.28515625" customWidth="1"/>
    <col min="11282" max="11282" width="19.42578125" bestFit="1" customWidth="1"/>
    <col min="11283" max="11283" width="19.42578125" customWidth="1"/>
    <col min="11284" max="11284" width="15.5703125" bestFit="1" customWidth="1"/>
    <col min="11286" max="11286" width="14.28515625" bestFit="1" customWidth="1"/>
    <col min="11521" max="11521" width="5" customWidth="1"/>
    <col min="11522" max="11522" width="13.7109375" customWidth="1"/>
    <col min="11523" max="11523" width="57.85546875" customWidth="1"/>
    <col min="11524" max="11524" width="10" customWidth="1"/>
    <col min="11525" max="11525" width="9.7109375" bestFit="1" customWidth="1"/>
    <col min="11526" max="11526" width="8.7109375" customWidth="1"/>
    <col min="11527" max="11527" width="8" customWidth="1"/>
    <col min="11528" max="11528" width="9.85546875" customWidth="1"/>
    <col min="11529" max="11529" width="10.42578125" customWidth="1"/>
    <col min="11530" max="11530" width="10.42578125" bestFit="1" customWidth="1"/>
    <col min="11534" max="11534" width="11.85546875" bestFit="1" customWidth="1"/>
    <col min="11535" max="11535" width="12.28515625" customWidth="1"/>
    <col min="11538" max="11538" width="19.42578125" bestFit="1" customWidth="1"/>
    <col min="11539" max="11539" width="19.42578125" customWidth="1"/>
    <col min="11540" max="11540" width="15.5703125" bestFit="1" customWidth="1"/>
    <col min="11542" max="11542" width="14.28515625" bestFit="1" customWidth="1"/>
    <col min="11777" max="11777" width="5" customWidth="1"/>
    <col min="11778" max="11778" width="13.7109375" customWidth="1"/>
    <col min="11779" max="11779" width="57.85546875" customWidth="1"/>
    <col min="11780" max="11780" width="10" customWidth="1"/>
    <col min="11781" max="11781" width="9.7109375" bestFit="1" customWidth="1"/>
    <col min="11782" max="11782" width="8.7109375" customWidth="1"/>
    <col min="11783" max="11783" width="8" customWidth="1"/>
    <col min="11784" max="11784" width="9.85546875" customWidth="1"/>
    <col min="11785" max="11785" width="10.42578125" customWidth="1"/>
    <col min="11786" max="11786" width="10.42578125" bestFit="1" customWidth="1"/>
    <col min="11790" max="11790" width="11.85546875" bestFit="1" customWidth="1"/>
    <col min="11791" max="11791" width="12.28515625" customWidth="1"/>
    <col min="11794" max="11794" width="19.42578125" bestFit="1" customWidth="1"/>
    <col min="11795" max="11795" width="19.42578125" customWidth="1"/>
    <col min="11796" max="11796" width="15.5703125" bestFit="1" customWidth="1"/>
    <col min="11798" max="11798" width="14.28515625" bestFit="1" customWidth="1"/>
    <col min="12033" max="12033" width="5" customWidth="1"/>
    <col min="12034" max="12034" width="13.7109375" customWidth="1"/>
    <col min="12035" max="12035" width="57.85546875" customWidth="1"/>
    <col min="12036" max="12036" width="10" customWidth="1"/>
    <col min="12037" max="12037" width="9.7109375" bestFit="1" customWidth="1"/>
    <col min="12038" max="12038" width="8.7109375" customWidth="1"/>
    <col min="12039" max="12039" width="8" customWidth="1"/>
    <col min="12040" max="12040" width="9.85546875" customWidth="1"/>
    <col min="12041" max="12041" width="10.42578125" customWidth="1"/>
    <col min="12042" max="12042" width="10.42578125" bestFit="1" customWidth="1"/>
    <col min="12046" max="12046" width="11.85546875" bestFit="1" customWidth="1"/>
    <col min="12047" max="12047" width="12.28515625" customWidth="1"/>
    <col min="12050" max="12050" width="19.42578125" bestFit="1" customWidth="1"/>
    <col min="12051" max="12051" width="19.42578125" customWidth="1"/>
    <col min="12052" max="12052" width="15.5703125" bestFit="1" customWidth="1"/>
    <col min="12054" max="12054" width="14.28515625" bestFit="1" customWidth="1"/>
    <col min="12289" max="12289" width="5" customWidth="1"/>
    <col min="12290" max="12290" width="13.7109375" customWidth="1"/>
    <col min="12291" max="12291" width="57.85546875" customWidth="1"/>
    <col min="12292" max="12292" width="10" customWidth="1"/>
    <col min="12293" max="12293" width="9.7109375" bestFit="1" customWidth="1"/>
    <col min="12294" max="12294" width="8.7109375" customWidth="1"/>
    <col min="12295" max="12295" width="8" customWidth="1"/>
    <col min="12296" max="12296" width="9.85546875" customWidth="1"/>
    <col min="12297" max="12297" width="10.42578125" customWidth="1"/>
    <col min="12298" max="12298" width="10.42578125" bestFit="1" customWidth="1"/>
    <col min="12302" max="12302" width="11.85546875" bestFit="1" customWidth="1"/>
    <col min="12303" max="12303" width="12.28515625" customWidth="1"/>
    <col min="12306" max="12306" width="19.42578125" bestFit="1" customWidth="1"/>
    <col min="12307" max="12307" width="19.42578125" customWidth="1"/>
    <col min="12308" max="12308" width="15.5703125" bestFit="1" customWidth="1"/>
    <col min="12310" max="12310" width="14.28515625" bestFit="1" customWidth="1"/>
    <col min="12545" max="12545" width="5" customWidth="1"/>
    <col min="12546" max="12546" width="13.7109375" customWidth="1"/>
    <col min="12547" max="12547" width="57.85546875" customWidth="1"/>
    <col min="12548" max="12548" width="10" customWidth="1"/>
    <col min="12549" max="12549" width="9.7109375" bestFit="1" customWidth="1"/>
    <col min="12550" max="12550" width="8.7109375" customWidth="1"/>
    <col min="12551" max="12551" width="8" customWidth="1"/>
    <col min="12552" max="12552" width="9.85546875" customWidth="1"/>
    <col min="12553" max="12553" width="10.42578125" customWidth="1"/>
    <col min="12554" max="12554" width="10.42578125" bestFit="1" customWidth="1"/>
    <col min="12558" max="12558" width="11.85546875" bestFit="1" customWidth="1"/>
    <col min="12559" max="12559" width="12.28515625" customWidth="1"/>
    <col min="12562" max="12562" width="19.42578125" bestFit="1" customWidth="1"/>
    <col min="12563" max="12563" width="19.42578125" customWidth="1"/>
    <col min="12564" max="12564" width="15.5703125" bestFit="1" customWidth="1"/>
    <col min="12566" max="12566" width="14.28515625" bestFit="1" customWidth="1"/>
    <col min="12801" max="12801" width="5" customWidth="1"/>
    <col min="12802" max="12802" width="13.7109375" customWidth="1"/>
    <col min="12803" max="12803" width="57.85546875" customWidth="1"/>
    <col min="12804" max="12804" width="10" customWidth="1"/>
    <col min="12805" max="12805" width="9.7109375" bestFit="1" customWidth="1"/>
    <col min="12806" max="12806" width="8.7109375" customWidth="1"/>
    <col min="12807" max="12807" width="8" customWidth="1"/>
    <col min="12808" max="12808" width="9.85546875" customWidth="1"/>
    <col min="12809" max="12809" width="10.42578125" customWidth="1"/>
    <col min="12810" max="12810" width="10.42578125" bestFit="1" customWidth="1"/>
    <col min="12814" max="12814" width="11.85546875" bestFit="1" customWidth="1"/>
    <col min="12815" max="12815" width="12.28515625" customWidth="1"/>
    <col min="12818" max="12818" width="19.42578125" bestFit="1" customWidth="1"/>
    <col min="12819" max="12819" width="19.42578125" customWidth="1"/>
    <col min="12820" max="12820" width="15.5703125" bestFit="1" customWidth="1"/>
    <col min="12822" max="12822" width="14.28515625" bestFit="1" customWidth="1"/>
    <col min="13057" max="13057" width="5" customWidth="1"/>
    <col min="13058" max="13058" width="13.7109375" customWidth="1"/>
    <col min="13059" max="13059" width="57.85546875" customWidth="1"/>
    <col min="13060" max="13060" width="10" customWidth="1"/>
    <col min="13061" max="13061" width="9.7109375" bestFit="1" customWidth="1"/>
    <col min="13062" max="13062" width="8.7109375" customWidth="1"/>
    <col min="13063" max="13063" width="8" customWidth="1"/>
    <col min="13064" max="13064" width="9.85546875" customWidth="1"/>
    <col min="13065" max="13065" width="10.42578125" customWidth="1"/>
    <col min="13066" max="13066" width="10.42578125" bestFit="1" customWidth="1"/>
    <col min="13070" max="13070" width="11.85546875" bestFit="1" customWidth="1"/>
    <col min="13071" max="13071" width="12.28515625" customWidth="1"/>
    <col min="13074" max="13074" width="19.42578125" bestFit="1" customWidth="1"/>
    <col min="13075" max="13075" width="19.42578125" customWidth="1"/>
    <col min="13076" max="13076" width="15.5703125" bestFit="1" customWidth="1"/>
    <col min="13078" max="13078" width="14.28515625" bestFit="1" customWidth="1"/>
    <col min="13313" max="13313" width="5" customWidth="1"/>
    <col min="13314" max="13314" width="13.7109375" customWidth="1"/>
    <col min="13315" max="13315" width="57.85546875" customWidth="1"/>
    <col min="13316" max="13316" width="10" customWidth="1"/>
    <col min="13317" max="13317" width="9.7109375" bestFit="1" customWidth="1"/>
    <col min="13318" max="13318" width="8.7109375" customWidth="1"/>
    <col min="13319" max="13319" width="8" customWidth="1"/>
    <col min="13320" max="13320" width="9.85546875" customWidth="1"/>
    <col min="13321" max="13321" width="10.42578125" customWidth="1"/>
    <col min="13322" max="13322" width="10.42578125" bestFit="1" customWidth="1"/>
    <col min="13326" max="13326" width="11.85546875" bestFit="1" customWidth="1"/>
    <col min="13327" max="13327" width="12.28515625" customWidth="1"/>
    <col min="13330" max="13330" width="19.42578125" bestFit="1" customWidth="1"/>
    <col min="13331" max="13331" width="19.42578125" customWidth="1"/>
    <col min="13332" max="13332" width="15.5703125" bestFit="1" customWidth="1"/>
    <col min="13334" max="13334" width="14.28515625" bestFit="1" customWidth="1"/>
    <col min="13569" max="13569" width="5" customWidth="1"/>
    <col min="13570" max="13570" width="13.7109375" customWidth="1"/>
    <col min="13571" max="13571" width="57.85546875" customWidth="1"/>
    <col min="13572" max="13572" width="10" customWidth="1"/>
    <col min="13573" max="13573" width="9.7109375" bestFit="1" customWidth="1"/>
    <col min="13574" max="13574" width="8.7109375" customWidth="1"/>
    <col min="13575" max="13575" width="8" customWidth="1"/>
    <col min="13576" max="13576" width="9.85546875" customWidth="1"/>
    <col min="13577" max="13577" width="10.42578125" customWidth="1"/>
    <col min="13578" max="13578" width="10.42578125" bestFit="1" customWidth="1"/>
    <col min="13582" max="13582" width="11.85546875" bestFit="1" customWidth="1"/>
    <col min="13583" max="13583" width="12.28515625" customWidth="1"/>
    <col min="13586" max="13586" width="19.42578125" bestFit="1" customWidth="1"/>
    <col min="13587" max="13587" width="19.42578125" customWidth="1"/>
    <col min="13588" max="13588" width="15.5703125" bestFit="1" customWidth="1"/>
    <col min="13590" max="13590" width="14.28515625" bestFit="1" customWidth="1"/>
    <col min="13825" max="13825" width="5" customWidth="1"/>
    <col min="13826" max="13826" width="13.7109375" customWidth="1"/>
    <col min="13827" max="13827" width="57.85546875" customWidth="1"/>
    <col min="13828" max="13828" width="10" customWidth="1"/>
    <col min="13829" max="13829" width="9.7109375" bestFit="1" customWidth="1"/>
    <col min="13830" max="13830" width="8.7109375" customWidth="1"/>
    <col min="13831" max="13831" width="8" customWidth="1"/>
    <col min="13832" max="13832" width="9.85546875" customWidth="1"/>
    <col min="13833" max="13833" width="10.42578125" customWidth="1"/>
    <col min="13834" max="13834" width="10.42578125" bestFit="1" customWidth="1"/>
    <col min="13838" max="13838" width="11.85546875" bestFit="1" customWidth="1"/>
    <col min="13839" max="13839" width="12.28515625" customWidth="1"/>
    <col min="13842" max="13842" width="19.42578125" bestFit="1" customWidth="1"/>
    <col min="13843" max="13843" width="19.42578125" customWidth="1"/>
    <col min="13844" max="13844" width="15.5703125" bestFit="1" customWidth="1"/>
    <col min="13846" max="13846" width="14.28515625" bestFit="1" customWidth="1"/>
    <col min="14081" max="14081" width="5" customWidth="1"/>
    <col min="14082" max="14082" width="13.7109375" customWidth="1"/>
    <col min="14083" max="14083" width="57.85546875" customWidth="1"/>
    <col min="14084" max="14084" width="10" customWidth="1"/>
    <col min="14085" max="14085" width="9.7109375" bestFit="1" customWidth="1"/>
    <col min="14086" max="14086" width="8.7109375" customWidth="1"/>
    <col min="14087" max="14087" width="8" customWidth="1"/>
    <col min="14088" max="14088" width="9.85546875" customWidth="1"/>
    <col min="14089" max="14089" width="10.42578125" customWidth="1"/>
    <col min="14090" max="14090" width="10.42578125" bestFit="1" customWidth="1"/>
    <col min="14094" max="14094" width="11.85546875" bestFit="1" customWidth="1"/>
    <col min="14095" max="14095" width="12.28515625" customWidth="1"/>
    <col min="14098" max="14098" width="19.42578125" bestFit="1" customWidth="1"/>
    <col min="14099" max="14099" width="19.42578125" customWidth="1"/>
    <col min="14100" max="14100" width="15.5703125" bestFit="1" customWidth="1"/>
    <col min="14102" max="14102" width="14.28515625" bestFit="1" customWidth="1"/>
    <col min="14337" max="14337" width="5" customWidth="1"/>
    <col min="14338" max="14338" width="13.7109375" customWidth="1"/>
    <col min="14339" max="14339" width="57.85546875" customWidth="1"/>
    <col min="14340" max="14340" width="10" customWidth="1"/>
    <col min="14341" max="14341" width="9.7109375" bestFit="1" customWidth="1"/>
    <col min="14342" max="14342" width="8.7109375" customWidth="1"/>
    <col min="14343" max="14343" width="8" customWidth="1"/>
    <col min="14344" max="14344" width="9.85546875" customWidth="1"/>
    <col min="14345" max="14345" width="10.42578125" customWidth="1"/>
    <col min="14346" max="14346" width="10.42578125" bestFit="1" customWidth="1"/>
    <col min="14350" max="14350" width="11.85546875" bestFit="1" customWidth="1"/>
    <col min="14351" max="14351" width="12.28515625" customWidth="1"/>
    <col min="14354" max="14354" width="19.42578125" bestFit="1" customWidth="1"/>
    <col min="14355" max="14355" width="19.42578125" customWidth="1"/>
    <col min="14356" max="14356" width="15.5703125" bestFit="1" customWidth="1"/>
    <col min="14358" max="14358" width="14.28515625" bestFit="1" customWidth="1"/>
    <col min="14593" max="14593" width="5" customWidth="1"/>
    <col min="14594" max="14594" width="13.7109375" customWidth="1"/>
    <col min="14595" max="14595" width="57.85546875" customWidth="1"/>
    <col min="14596" max="14596" width="10" customWidth="1"/>
    <col min="14597" max="14597" width="9.7109375" bestFit="1" customWidth="1"/>
    <col min="14598" max="14598" width="8.7109375" customWidth="1"/>
    <col min="14599" max="14599" width="8" customWidth="1"/>
    <col min="14600" max="14600" width="9.85546875" customWidth="1"/>
    <col min="14601" max="14601" width="10.42578125" customWidth="1"/>
    <col min="14602" max="14602" width="10.42578125" bestFit="1" customWidth="1"/>
    <col min="14606" max="14606" width="11.85546875" bestFit="1" customWidth="1"/>
    <col min="14607" max="14607" width="12.28515625" customWidth="1"/>
    <col min="14610" max="14610" width="19.42578125" bestFit="1" customWidth="1"/>
    <col min="14611" max="14611" width="19.42578125" customWidth="1"/>
    <col min="14612" max="14612" width="15.5703125" bestFit="1" customWidth="1"/>
    <col min="14614" max="14614" width="14.28515625" bestFit="1" customWidth="1"/>
    <col min="14849" max="14849" width="5" customWidth="1"/>
    <col min="14850" max="14850" width="13.7109375" customWidth="1"/>
    <col min="14851" max="14851" width="57.85546875" customWidth="1"/>
    <col min="14852" max="14852" width="10" customWidth="1"/>
    <col min="14853" max="14853" width="9.7109375" bestFit="1" customWidth="1"/>
    <col min="14854" max="14854" width="8.7109375" customWidth="1"/>
    <col min="14855" max="14855" width="8" customWidth="1"/>
    <col min="14856" max="14856" width="9.85546875" customWidth="1"/>
    <col min="14857" max="14857" width="10.42578125" customWidth="1"/>
    <col min="14858" max="14858" width="10.42578125" bestFit="1" customWidth="1"/>
    <col min="14862" max="14862" width="11.85546875" bestFit="1" customWidth="1"/>
    <col min="14863" max="14863" width="12.28515625" customWidth="1"/>
    <col min="14866" max="14866" width="19.42578125" bestFit="1" customWidth="1"/>
    <col min="14867" max="14867" width="19.42578125" customWidth="1"/>
    <col min="14868" max="14868" width="15.5703125" bestFit="1" customWidth="1"/>
    <col min="14870" max="14870" width="14.28515625" bestFit="1" customWidth="1"/>
    <col min="15105" max="15105" width="5" customWidth="1"/>
    <col min="15106" max="15106" width="13.7109375" customWidth="1"/>
    <col min="15107" max="15107" width="57.85546875" customWidth="1"/>
    <col min="15108" max="15108" width="10" customWidth="1"/>
    <col min="15109" max="15109" width="9.7109375" bestFit="1" customWidth="1"/>
    <col min="15110" max="15110" width="8.7109375" customWidth="1"/>
    <col min="15111" max="15111" width="8" customWidth="1"/>
    <col min="15112" max="15112" width="9.85546875" customWidth="1"/>
    <col min="15113" max="15113" width="10.42578125" customWidth="1"/>
    <col min="15114" max="15114" width="10.42578125" bestFit="1" customWidth="1"/>
    <col min="15118" max="15118" width="11.85546875" bestFit="1" customWidth="1"/>
    <col min="15119" max="15119" width="12.28515625" customWidth="1"/>
    <col min="15122" max="15122" width="19.42578125" bestFit="1" customWidth="1"/>
    <col min="15123" max="15123" width="19.42578125" customWidth="1"/>
    <col min="15124" max="15124" width="15.5703125" bestFit="1" customWidth="1"/>
    <col min="15126" max="15126" width="14.28515625" bestFit="1" customWidth="1"/>
    <col min="15361" max="15361" width="5" customWidth="1"/>
    <col min="15362" max="15362" width="13.7109375" customWidth="1"/>
    <col min="15363" max="15363" width="57.85546875" customWidth="1"/>
    <col min="15364" max="15364" width="10" customWidth="1"/>
    <col min="15365" max="15365" width="9.7109375" bestFit="1" customWidth="1"/>
    <col min="15366" max="15366" width="8.7109375" customWidth="1"/>
    <col min="15367" max="15367" width="8" customWidth="1"/>
    <col min="15368" max="15368" width="9.85546875" customWidth="1"/>
    <col min="15369" max="15369" width="10.42578125" customWidth="1"/>
    <col min="15370" max="15370" width="10.42578125" bestFit="1" customWidth="1"/>
    <col min="15374" max="15374" width="11.85546875" bestFit="1" customWidth="1"/>
    <col min="15375" max="15375" width="12.28515625" customWidth="1"/>
    <col min="15378" max="15378" width="19.42578125" bestFit="1" customWidth="1"/>
    <col min="15379" max="15379" width="19.42578125" customWidth="1"/>
    <col min="15380" max="15380" width="15.5703125" bestFit="1" customWidth="1"/>
    <col min="15382" max="15382" width="14.28515625" bestFit="1" customWidth="1"/>
    <col min="15617" max="15617" width="5" customWidth="1"/>
    <col min="15618" max="15618" width="13.7109375" customWidth="1"/>
    <col min="15619" max="15619" width="57.85546875" customWidth="1"/>
    <col min="15620" max="15620" width="10" customWidth="1"/>
    <col min="15621" max="15621" width="9.7109375" bestFit="1" customWidth="1"/>
    <col min="15622" max="15622" width="8.7109375" customWidth="1"/>
    <col min="15623" max="15623" width="8" customWidth="1"/>
    <col min="15624" max="15624" width="9.85546875" customWidth="1"/>
    <col min="15625" max="15625" width="10.42578125" customWidth="1"/>
    <col min="15626" max="15626" width="10.42578125" bestFit="1" customWidth="1"/>
    <col min="15630" max="15630" width="11.85546875" bestFit="1" customWidth="1"/>
    <col min="15631" max="15631" width="12.28515625" customWidth="1"/>
    <col min="15634" max="15634" width="19.42578125" bestFit="1" customWidth="1"/>
    <col min="15635" max="15635" width="19.42578125" customWidth="1"/>
    <col min="15636" max="15636" width="15.5703125" bestFit="1" customWidth="1"/>
    <col min="15638" max="15638" width="14.28515625" bestFit="1" customWidth="1"/>
    <col min="15873" max="15873" width="5" customWidth="1"/>
    <col min="15874" max="15874" width="13.7109375" customWidth="1"/>
    <col min="15875" max="15875" width="57.85546875" customWidth="1"/>
    <col min="15876" max="15876" width="10" customWidth="1"/>
    <col min="15877" max="15877" width="9.7109375" bestFit="1" customWidth="1"/>
    <col min="15878" max="15878" width="8.7109375" customWidth="1"/>
    <col min="15879" max="15879" width="8" customWidth="1"/>
    <col min="15880" max="15880" width="9.85546875" customWidth="1"/>
    <col min="15881" max="15881" width="10.42578125" customWidth="1"/>
    <col min="15882" max="15882" width="10.42578125" bestFit="1" customWidth="1"/>
    <col min="15886" max="15886" width="11.85546875" bestFit="1" customWidth="1"/>
    <col min="15887" max="15887" width="12.28515625" customWidth="1"/>
    <col min="15890" max="15890" width="19.42578125" bestFit="1" customWidth="1"/>
    <col min="15891" max="15891" width="19.42578125" customWidth="1"/>
    <col min="15892" max="15892" width="15.5703125" bestFit="1" customWidth="1"/>
    <col min="15894" max="15894" width="14.28515625" bestFit="1" customWidth="1"/>
    <col min="16129" max="16129" width="5" customWidth="1"/>
    <col min="16130" max="16130" width="13.7109375" customWidth="1"/>
    <col min="16131" max="16131" width="57.85546875" customWidth="1"/>
    <col min="16132" max="16132" width="10" customWidth="1"/>
    <col min="16133" max="16133" width="9.7109375" bestFit="1" customWidth="1"/>
    <col min="16134" max="16134" width="8.7109375" customWidth="1"/>
    <col min="16135" max="16135" width="8" customWidth="1"/>
    <col min="16136" max="16136" width="9.85546875" customWidth="1"/>
    <col min="16137" max="16137" width="10.42578125" customWidth="1"/>
    <col min="16138" max="16138" width="10.42578125" bestFit="1" customWidth="1"/>
    <col min="16142" max="16142" width="11.85546875" bestFit="1" customWidth="1"/>
    <col min="16143" max="16143" width="12.28515625" customWidth="1"/>
    <col min="16146" max="16146" width="19.42578125" bestFit="1" customWidth="1"/>
    <col min="16147" max="16147" width="19.42578125" customWidth="1"/>
    <col min="16148" max="16148" width="15.5703125" bestFit="1" customWidth="1"/>
    <col min="16150" max="16150" width="14.28515625" bestFit="1" customWidth="1"/>
  </cols>
  <sheetData>
    <row r="1" spans="1:256" ht="22.5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6" t="s">
        <v>5</v>
      </c>
      <c r="H1" s="7" t="s">
        <v>6</v>
      </c>
      <c r="I1" s="7" t="s">
        <v>6</v>
      </c>
      <c r="J1" s="7" t="s">
        <v>7</v>
      </c>
      <c r="K1" s="6" t="s">
        <v>8</v>
      </c>
      <c r="L1" s="7" t="s">
        <v>9</v>
      </c>
      <c r="M1" s="6" t="s">
        <v>10</v>
      </c>
      <c r="N1" s="6" t="s">
        <v>11</v>
      </c>
      <c r="O1" s="8" t="s">
        <v>12</v>
      </c>
      <c r="P1" s="9" t="s">
        <v>13</v>
      </c>
      <c r="Q1" s="10" t="s">
        <v>14</v>
      </c>
      <c r="R1" s="11"/>
      <c r="S1" s="12"/>
      <c r="T1" s="13"/>
    </row>
    <row r="2" spans="1:256" ht="34.5" x14ac:dyDescent="0.45">
      <c r="A2" s="14" t="s">
        <v>15</v>
      </c>
      <c r="C2" s="15" t="s">
        <v>125</v>
      </c>
      <c r="D2" s="16" t="s">
        <v>16</v>
      </c>
      <c r="E2" s="16" t="s">
        <v>3</v>
      </c>
      <c r="F2" s="17"/>
      <c r="G2" s="17"/>
      <c r="H2" s="18"/>
      <c r="I2" s="18"/>
      <c r="J2" s="19"/>
      <c r="K2" s="18" t="s">
        <v>17</v>
      </c>
      <c r="L2" s="18"/>
      <c r="M2" s="20" t="s">
        <v>18</v>
      </c>
      <c r="N2" s="21" t="s">
        <v>19</v>
      </c>
      <c r="O2" s="18"/>
      <c r="T2" s="19"/>
    </row>
    <row r="3" spans="1:256" x14ac:dyDescent="0.25">
      <c r="A3" s="14">
        <v>1</v>
      </c>
      <c r="B3" t="s">
        <v>20</v>
      </c>
      <c r="C3" s="23" t="s">
        <v>21</v>
      </c>
      <c r="D3" s="24">
        <v>42745</v>
      </c>
      <c r="E3" s="24">
        <v>46080</v>
      </c>
      <c r="F3" s="25">
        <v>42.368299999999998</v>
      </c>
      <c r="G3" s="18">
        <v>123075.6</v>
      </c>
      <c r="H3" s="18">
        <v>2311497</v>
      </c>
      <c r="I3" s="18">
        <v>-2311497</v>
      </c>
      <c r="J3" s="18">
        <f>F3*G3</f>
        <v>5214503.9434799999</v>
      </c>
      <c r="K3" s="18">
        <f>J3-H3</f>
        <v>2903006.9434799999</v>
      </c>
      <c r="L3" s="18">
        <f>E3-D3</f>
        <v>3335</v>
      </c>
      <c r="M3" s="26">
        <f>(K3/H3)</f>
        <v>1.2558990747035363</v>
      </c>
      <c r="N3" s="26">
        <f>(J3/H3)^(365/L3) - 1</f>
        <v>9.3123343886488907E-2</v>
      </c>
      <c r="O3" s="17" t="s">
        <v>22</v>
      </c>
      <c r="P3" s="17" t="s">
        <v>23</v>
      </c>
      <c r="Q3" s="27">
        <f>L3/365</f>
        <v>9.1369863013698627</v>
      </c>
      <c r="R3" s="28"/>
      <c r="S3" s="29"/>
      <c r="T3" s="18"/>
    </row>
    <row r="4" spans="1:256" x14ac:dyDescent="0.25">
      <c r="A4" s="14">
        <v>2</v>
      </c>
      <c r="B4" t="s">
        <v>24</v>
      </c>
      <c r="C4" s="23" t="s">
        <v>25</v>
      </c>
      <c r="D4" s="24">
        <v>42944</v>
      </c>
      <c r="E4" s="24">
        <v>46080</v>
      </c>
      <c r="F4" s="25">
        <v>24.3704</v>
      </c>
      <c r="G4" s="18">
        <v>120450</v>
      </c>
      <c r="H4" s="18">
        <v>1444653</v>
      </c>
      <c r="I4" s="18">
        <v>-1444653</v>
      </c>
      <c r="J4" s="18">
        <f t="shared" ref="J4:J15" si="0">F4*G4</f>
        <v>2935414.68</v>
      </c>
      <c r="K4" s="18">
        <f t="shared" ref="K4:K15" si="1">J4-H4</f>
        <v>1490761.6800000002</v>
      </c>
      <c r="L4" s="18">
        <f>E4-D4</f>
        <v>3136</v>
      </c>
      <c r="M4" s="26">
        <f t="shared" ref="M4:M16" si="2">(K4/H4)</f>
        <v>1.0319167855533475</v>
      </c>
      <c r="N4" s="26">
        <f t="shared" ref="N4:N68" si="3">(J4/H4)^(365/L4) - 1</f>
        <v>8.6018601684904494E-2</v>
      </c>
      <c r="O4" s="17" t="s">
        <v>22</v>
      </c>
      <c r="P4" s="17" t="s">
        <v>23</v>
      </c>
      <c r="Q4" s="27">
        <f t="shared" ref="Q4:Q68" si="4">L4/365</f>
        <v>8.5917808219178085</v>
      </c>
      <c r="R4" s="28"/>
      <c r="S4" s="29"/>
      <c r="T4" s="18"/>
      <c r="V4" s="1"/>
    </row>
    <row r="5" spans="1:256" x14ac:dyDescent="0.25">
      <c r="A5" s="14">
        <v>3</v>
      </c>
      <c r="B5" t="s">
        <v>26</v>
      </c>
      <c r="C5" s="23" t="s">
        <v>27</v>
      </c>
      <c r="D5" s="24">
        <v>42677</v>
      </c>
      <c r="E5" s="24">
        <v>46080</v>
      </c>
      <c r="F5" s="25">
        <v>83.852599999999995</v>
      </c>
      <c r="G5" s="18">
        <v>25064.73</v>
      </c>
      <c r="H5" s="18">
        <v>1000000</v>
      </c>
      <c r="I5" s="18">
        <v>-1000000</v>
      </c>
      <c r="J5" s="18">
        <f t="shared" si="0"/>
        <v>2101742.778798</v>
      </c>
      <c r="K5" s="18">
        <f t="shared" si="1"/>
        <v>1101742.778798</v>
      </c>
      <c r="L5" s="18">
        <f t="shared" ref="L5:L15" si="5">E5-D5</f>
        <v>3403</v>
      </c>
      <c r="M5" s="26">
        <f t="shared" si="2"/>
        <v>1.1017427787979999</v>
      </c>
      <c r="N5" s="26">
        <f t="shared" si="3"/>
        <v>8.2927384655240521E-2</v>
      </c>
      <c r="O5" s="17" t="s">
        <v>22</v>
      </c>
      <c r="P5" s="23"/>
      <c r="Q5" s="27">
        <f t="shared" si="4"/>
        <v>9.3232876712328761</v>
      </c>
      <c r="R5" s="28"/>
      <c r="S5" s="29"/>
      <c r="T5" s="18"/>
    </row>
    <row r="6" spans="1:256" x14ac:dyDescent="0.25">
      <c r="A6" s="14">
        <v>4</v>
      </c>
      <c r="B6" t="s">
        <v>28</v>
      </c>
      <c r="C6" s="23" t="s">
        <v>29</v>
      </c>
      <c r="D6" s="24">
        <v>42691</v>
      </c>
      <c r="E6" s="24">
        <v>46080</v>
      </c>
      <c r="F6" s="25">
        <v>118.008</v>
      </c>
      <c r="G6" s="18">
        <v>6402.3</v>
      </c>
      <c r="H6" s="18">
        <v>271000</v>
      </c>
      <c r="I6" s="18">
        <v>-271000</v>
      </c>
      <c r="J6" s="18">
        <f t="shared" si="0"/>
        <v>755522.61840000004</v>
      </c>
      <c r="K6" s="18">
        <f t="shared" si="1"/>
        <v>484522.61840000004</v>
      </c>
      <c r="L6" s="18">
        <f t="shared" si="5"/>
        <v>3389</v>
      </c>
      <c r="M6" s="26">
        <f t="shared" si="2"/>
        <v>1.7879063409594098</v>
      </c>
      <c r="N6" s="26">
        <f t="shared" si="3"/>
        <v>0.11675287055877881</v>
      </c>
      <c r="O6" s="17" t="s">
        <v>30</v>
      </c>
      <c r="P6" s="23"/>
      <c r="Q6" s="27">
        <f t="shared" si="4"/>
        <v>9.2849315068493148</v>
      </c>
      <c r="R6" s="28"/>
      <c r="S6" s="29"/>
      <c r="T6" s="18"/>
    </row>
    <row r="7" spans="1:256" x14ac:dyDescent="0.25">
      <c r="A7" s="14">
        <v>5</v>
      </c>
      <c r="B7" t="s">
        <v>31</v>
      </c>
      <c r="C7" s="23" t="s">
        <v>32</v>
      </c>
      <c r="D7" s="24">
        <v>43889</v>
      </c>
      <c r="E7" s="24">
        <v>46080</v>
      </c>
      <c r="F7" s="25">
        <v>2060.127</v>
      </c>
      <c r="G7" s="18">
        <v>300.72899999999998</v>
      </c>
      <c r="H7" s="18">
        <v>190000</v>
      </c>
      <c r="I7" s="18">
        <v>-190000</v>
      </c>
      <c r="J7" s="18">
        <f t="shared" si="0"/>
        <v>619539.93258299993</v>
      </c>
      <c r="K7" s="18">
        <f t="shared" si="1"/>
        <v>429539.93258299993</v>
      </c>
      <c r="L7" s="18">
        <f t="shared" si="5"/>
        <v>2191</v>
      </c>
      <c r="M7" s="26">
        <f t="shared" si="2"/>
        <v>2.260736487278947</v>
      </c>
      <c r="N7" s="26">
        <f t="shared" si="3"/>
        <v>0.21762503800514277</v>
      </c>
      <c r="O7" s="17" t="s">
        <v>30</v>
      </c>
      <c r="P7" s="23"/>
      <c r="Q7" s="27">
        <f t="shared" si="4"/>
        <v>6.0027397260273974</v>
      </c>
      <c r="R7" s="28"/>
      <c r="S7" s="29"/>
      <c r="T7" s="18"/>
      <c r="V7" s="1"/>
    </row>
    <row r="8" spans="1:256" x14ac:dyDescent="0.25">
      <c r="A8" s="14">
        <v>6</v>
      </c>
      <c r="B8" t="s">
        <v>31</v>
      </c>
      <c r="C8" s="23" t="s">
        <v>32</v>
      </c>
      <c r="D8" s="24">
        <v>43902</v>
      </c>
      <c r="E8" s="24">
        <v>46080</v>
      </c>
      <c r="F8" s="25">
        <v>2060.127</v>
      </c>
      <c r="G8" s="18">
        <v>380.75200000000001</v>
      </c>
      <c r="H8" s="18">
        <v>190000</v>
      </c>
      <c r="I8" s="18">
        <v>-190000</v>
      </c>
      <c r="J8" s="18">
        <f t="shared" si="0"/>
        <v>784397.47550399997</v>
      </c>
      <c r="K8" s="18">
        <f t="shared" si="1"/>
        <v>594397.47550399997</v>
      </c>
      <c r="L8" s="18">
        <f t="shared" si="5"/>
        <v>2178</v>
      </c>
      <c r="M8" s="26">
        <f t="shared" si="2"/>
        <v>3.1284077658105263</v>
      </c>
      <c r="N8" s="26">
        <f t="shared" si="3"/>
        <v>0.26822376758623423</v>
      </c>
      <c r="O8" s="17" t="s">
        <v>30</v>
      </c>
      <c r="P8" s="23"/>
      <c r="Q8" s="27">
        <f t="shared" si="4"/>
        <v>5.9671232876712326</v>
      </c>
      <c r="R8" s="28"/>
      <c r="S8" s="29"/>
      <c r="T8" s="18"/>
    </row>
    <row r="9" spans="1:256" x14ac:dyDescent="0.25">
      <c r="A9" s="14">
        <v>7</v>
      </c>
      <c r="B9" t="s">
        <v>33</v>
      </c>
      <c r="C9" s="23" t="s">
        <v>34</v>
      </c>
      <c r="D9" s="24">
        <v>42944</v>
      </c>
      <c r="E9" s="24">
        <v>46080</v>
      </c>
      <c r="F9" s="25">
        <v>58.5227</v>
      </c>
      <c r="G9" s="18">
        <v>44664</v>
      </c>
      <c r="H9" s="18">
        <v>1500000</v>
      </c>
      <c r="I9" s="18">
        <v>-1500000</v>
      </c>
      <c r="J9" s="18">
        <f t="shared" si="0"/>
        <v>2613857.8728</v>
      </c>
      <c r="K9" s="18">
        <f t="shared" si="1"/>
        <v>1113857.8728</v>
      </c>
      <c r="L9" s="18">
        <f t="shared" si="5"/>
        <v>3136</v>
      </c>
      <c r="M9" s="26">
        <f t="shared" si="2"/>
        <v>0.74257191519999999</v>
      </c>
      <c r="N9" s="26">
        <f t="shared" si="3"/>
        <v>6.6773602860293879E-2</v>
      </c>
      <c r="O9" s="17" t="s">
        <v>22</v>
      </c>
      <c r="P9" s="17"/>
      <c r="Q9" s="27">
        <f t="shared" si="4"/>
        <v>8.5917808219178085</v>
      </c>
      <c r="R9" s="28"/>
      <c r="S9" s="29"/>
      <c r="T9" s="18"/>
    </row>
    <row r="10" spans="1:256" x14ac:dyDescent="0.25">
      <c r="A10" s="14">
        <v>8</v>
      </c>
      <c r="B10" t="s">
        <v>35</v>
      </c>
      <c r="C10" s="23" t="s">
        <v>36</v>
      </c>
      <c r="D10" s="24">
        <v>43191</v>
      </c>
      <c r="E10" s="24">
        <v>46080</v>
      </c>
      <c r="F10" s="25">
        <v>67.875</v>
      </c>
      <c r="G10" s="18">
        <v>28405.3</v>
      </c>
      <c r="H10" s="18">
        <v>1000000</v>
      </c>
      <c r="I10" s="18">
        <v>-1000000</v>
      </c>
      <c r="J10" s="18">
        <f t="shared" si="0"/>
        <v>1928009.7375</v>
      </c>
      <c r="K10" s="18">
        <f t="shared" si="1"/>
        <v>928009.73750000005</v>
      </c>
      <c r="L10" s="18">
        <f t="shared" si="5"/>
        <v>2889</v>
      </c>
      <c r="M10" s="26">
        <f t="shared" si="2"/>
        <v>0.92800973750000004</v>
      </c>
      <c r="N10" s="26">
        <f t="shared" si="3"/>
        <v>8.6478329155114109E-2</v>
      </c>
      <c r="O10" s="17" t="s">
        <v>30</v>
      </c>
      <c r="P10" s="30" t="s">
        <v>37</v>
      </c>
      <c r="Q10" s="27">
        <f t="shared" si="4"/>
        <v>7.9150684931506845</v>
      </c>
      <c r="R10" s="28"/>
      <c r="S10" s="29"/>
      <c r="T10" s="18"/>
    </row>
    <row r="11" spans="1:256" x14ac:dyDescent="0.25">
      <c r="A11" s="14">
        <v>9</v>
      </c>
      <c r="B11" t="s">
        <v>38</v>
      </c>
      <c r="C11" s="23" t="s">
        <v>39</v>
      </c>
      <c r="D11" s="24">
        <v>42871</v>
      </c>
      <c r="E11" s="24">
        <v>46080</v>
      </c>
      <c r="F11" s="25">
        <v>33.3444</v>
      </c>
      <c r="G11" s="18">
        <v>290897.73300000001</v>
      </c>
      <c r="H11" s="18">
        <v>5538579</v>
      </c>
      <c r="I11" s="18">
        <v>-5538579</v>
      </c>
      <c r="J11" s="18">
        <f t="shared" si="0"/>
        <v>9699810.3682452012</v>
      </c>
      <c r="K11" s="18">
        <f t="shared" si="1"/>
        <v>4161231.3682452012</v>
      </c>
      <c r="L11" s="18">
        <f t="shared" si="5"/>
        <v>3209</v>
      </c>
      <c r="M11" s="26">
        <f t="shared" si="2"/>
        <v>0.75131750729658298</v>
      </c>
      <c r="N11" s="26">
        <f t="shared" si="3"/>
        <v>6.5812857282491644E-2</v>
      </c>
      <c r="O11" s="17" t="s">
        <v>22</v>
      </c>
      <c r="P11" s="17"/>
      <c r="R11" s="28"/>
      <c r="S11" s="29"/>
      <c r="T11" s="18"/>
    </row>
    <row r="12" spans="1:256" x14ac:dyDescent="0.25">
      <c r="A12" s="31">
        <v>10</v>
      </c>
      <c r="B12" t="s">
        <v>40</v>
      </c>
      <c r="C12" s="32" t="s">
        <v>41</v>
      </c>
      <c r="D12" s="33">
        <v>44245</v>
      </c>
      <c r="E12" s="24">
        <v>46080</v>
      </c>
      <c r="F12" s="25">
        <v>6212.2673999999997</v>
      </c>
      <c r="G12" s="34">
        <v>1073.47</v>
      </c>
      <c r="H12" s="34">
        <v>5000000</v>
      </c>
      <c r="I12" s="34">
        <v>-5000000</v>
      </c>
      <c r="J12" s="18">
        <f t="shared" si="0"/>
        <v>6668682.6858780002</v>
      </c>
      <c r="K12" s="18">
        <f t="shared" si="1"/>
        <v>1668682.6858780002</v>
      </c>
      <c r="L12" s="18">
        <f t="shared" si="5"/>
        <v>1835</v>
      </c>
      <c r="M12" s="26">
        <f t="shared" si="2"/>
        <v>0.33373653717560003</v>
      </c>
      <c r="N12" s="26">
        <f t="shared" si="3"/>
        <v>5.8955459203114735E-2</v>
      </c>
      <c r="O12" s="35" t="s">
        <v>22</v>
      </c>
      <c r="P12" s="27">
        <f>L11/365</f>
        <v>8.7917808219178077</v>
      </c>
      <c r="Q12" s="27">
        <f t="shared" si="4"/>
        <v>5.0273972602739727</v>
      </c>
      <c r="R12" s="28"/>
      <c r="S12" s="29"/>
      <c r="T12" s="18"/>
    </row>
    <row r="13" spans="1:256" x14ac:dyDescent="0.25">
      <c r="A13" s="14">
        <v>11</v>
      </c>
      <c r="B13" t="s">
        <v>42</v>
      </c>
      <c r="C13" s="23" t="s">
        <v>43</v>
      </c>
      <c r="D13" s="24">
        <v>44524</v>
      </c>
      <c r="E13" s="24">
        <v>46080</v>
      </c>
      <c r="F13" s="25">
        <v>13.809900000000001</v>
      </c>
      <c r="G13" s="18">
        <v>95248.75</v>
      </c>
      <c r="H13" s="18">
        <v>1000000</v>
      </c>
      <c r="I13" s="18">
        <v>-1000000</v>
      </c>
      <c r="J13" s="18">
        <f t="shared" si="0"/>
        <v>1315375.7126250002</v>
      </c>
      <c r="K13" s="18">
        <f t="shared" si="1"/>
        <v>315375.71262500016</v>
      </c>
      <c r="L13" s="18">
        <f t="shared" si="5"/>
        <v>1556</v>
      </c>
      <c r="M13" s="26">
        <f t="shared" si="2"/>
        <v>0.31537571262500014</v>
      </c>
      <c r="N13" s="26">
        <f t="shared" si="3"/>
        <v>6.6414915350557546E-2</v>
      </c>
      <c r="O13" s="17" t="s">
        <v>22</v>
      </c>
      <c r="P13" s="17"/>
      <c r="Q13" s="27">
        <f t="shared" si="4"/>
        <v>4.2630136986301368</v>
      </c>
      <c r="R13" s="28"/>
      <c r="S13" s="29"/>
      <c r="T13" s="18"/>
    </row>
    <row r="14" spans="1:256" x14ac:dyDescent="0.25">
      <c r="A14" s="14">
        <v>12</v>
      </c>
      <c r="B14" t="s">
        <v>44</v>
      </c>
      <c r="C14" s="23" t="s">
        <v>45</v>
      </c>
      <c r="D14" s="24">
        <v>44279</v>
      </c>
      <c r="E14" s="24">
        <v>46080</v>
      </c>
      <c r="F14" s="25">
        <v>16.0687</v>
      </c>
      <c r="G14" s="18">
        <v>414748.36</v>
      </c>
      <c r="H14" s="18">
        <v>5000000</v>
      </c>
      <c r="I14" s="18">
        <v>-5000000</v>
      </c>
      <c r="J14" s="18">
        <f t="shared" si="0"/>
        <v>6664466.9723319998</v>
      </c>
      <c r="K14" s="18">
        <f t="shared" si="1"/>
        <v>1664466.9723319998</v>
      </c>
      <c r="L14" s="18">
        <f t="shared" si="5"/>
        <v>1801</v>
      </c>
      <c r="M14" s="26">
        <f t="shared" si="2"/>
        <v>0.33289339446639998</v>
      </c>
      <c r="N14" s="26">
        <f t="shared" si="3"/>
        <v>5.9965392992612276E-2</v>
      </c>
      <c r="O14" s="17" t="s">
        <v>22</v>
      </c>
      <c r="P14" s="17"/>
      <c r="Q14" s="27">
        <f t="shared" si="4"/>
        <v>4.934246575342466</v>
      </c>
      <c r="R14" s="28"/>
      <c r="S14" s="29"/>
      <c r="T14" s="18"/>
    </row>
    <row r="15" spans="1:256" ht="15.75" thickBot="1" x14ac:dyDescent="0.3">
      <c r="A15" s="36">
        <v>13</v>
      </c>
      <c r="B15" t="s">
        <v>46</v>
      </c>
      <c r="C15" s="37" t="s">
        <v>47</v>
      </c>
      <c r="D15" s="38">
        <v>44658</v>
      </c>
      <c r="E15" s="24">
        <v>46080</v>
      </c>
      <c r="F15" s="25">
        <v>24.439</v>
      </c>
      <c r="G15" s="39">
        <v>57097.911</v>
      </c>
      <c r="H15" s="39">
        <v>1000000</v>
      </c>
      <c r="I15" s="39">
        <v>-1000000</v>
      </c>
      <c r="J15" s="39">
        <f t="shared" si="0"/>
        <v>1395415.846929</v>
      </c>
      <c r="K15" s="39">
        <f t="shared" si="1"/>
        <v>395415.84692899999</v>
      </c>
      <c r="L15" s="39">
        <f t="shared" si="5"/>
        <v>1422</v>
      </c>
      <c r="M15" s="40">
        <f t="shared" si="2"/>
        <v>0.395415846929</v>
      </c>
      <c r="N15" s="26">
        <f t="shared" si="3"/>
        <v>8.9287798300260901E-2</v>
      </c>
      <c r="O15" s="41" t="s">
        <v>30</v>
      </c>
      <c r="P15" s="41"/>
      <c r="Q15" s="27">
        <f t="shared" si="4"/>
        <v>3.8958904109589043</v>
      </c>
      <c r="R15" s="28"/>
      <c r="S15" s="42"/>
      <c r="T15" s="18"/>
    </row>
    <row r="16" spans="1:256" ht="15.75" thickBot="1" x14ac:dyDescent="0.3">
      <c r="A16" s="43"/>
      <c r="B16" s="44"/>
      <c r="C16" s="45" t="s">
        <v>48</v>
      </c>
      <c r="D16" s="46"/>
      <c r="E16" s="24"/>
      <c r="F16" s="25"/>
      <c r="G16" s="47" t="s">
        <v>49</v>
      </c>
      <c r="H16" s="47">
        <f>SUM(H3:H15)</f>
        <v>25445729</v>
      </c>
      <c r="I16" s="47">
        <v>-25445729</v>
      </c>
      <c r="J16" s="48">
        <f>SUM(J3:J15)</f>
        <v>42696740.6250742</v>
      </c>
      <c r="K16" s="47">
        <f>SUM(K3:K15)</f>
        <v>17251011.6250742</v>
      </c>
      <c r="L16" s="47">
        <f>AVERAGE(L3:L15)</f>
        <v>2575.3846153846152</v>
      </c>
      <c r="M16" s="49">
        <f t="shared" si="2"/>
        <v>0.6779531301726196</v>
      </c>
      <c r="N16" s="26">
        <f t="shared" si="3"/>
        <v>7.6111410241604283E-2</v>
      </c>
      <c r="O16" s="50"/>
      <c r="P16" s="50"/>
      <c r="Q16" s="51">
        <f t="shared" si="4"/>
        <v>7.0558482613277134</v>
      </c>
      <c r="R16" s="28"/>
      <c r="S16" s="52"/>
      <c r="T16" s="18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4"/>
      <c r="GG16" s="54"/>
      <c r="GH16" s="54"/>
      <c r="GI16" s="54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4"/>
      <c r="HM16" s="54"/>
      <c r="HN16" s="54"/>
      <c r="HO16" s="54"/>
      <c r="HP16" s="54"/>
      <c r="HQ16" s="54"/>
      <c r="HR16" s="54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4"/>
      <c r="IS16" s="54"/>
      <c r="IT16" s="54"/>
      <c r="IU16" s="54"/>
      <c r="IV16" s="54"/>
    </row>
    <row r="17" spans="1:256" ht="34.5" x14ac:dyDescent="0.45">
      <c r="A17" s="55"/>
      <c r="B17" s="56"/>
      <c r="C17" s="15" t="s">
        <v>126</v>
      </c>
      <c r="D17" s="57"/>
      <c r="E17" s="24"/>
      <c r="F17" s="25"/>
      <c r="G17" s="55"/>
      <c r="H17" s="58"/>
      <c r="I17" s="58"/>
      <c r="J17" s="59"/>
      <c r="K17" s="58"/>
      <c r="L17" s="58"/>
      <c r="M17" s="58"/>
      <c r="N17" s="26"/>
      <c r="O17" s="58"/>
      <c r="P17" s="55"/>
      <c r="Q17" s="27"/>
      <c r="R17" s="28"/>
      <c r="S17" s="60"/>
      <c r="T17" s="18"/>
    </row>
    <row r="18" spans="1:256" x14ac:dyDescent="0.25">
      <c r="A18" s="17">
        <v>1</v>
      </c>
      <c r="B18" t="s">
        <v>50</v>
      </c>
      <c r="C18" s="17" t="s">
        <v>51</v>
      </c>
      <c r="D18" s="24">
        <v>43564</v>
      </c>
      <c r="E18" s="24">
        <v>46080</v>
      </c>
      <c r="F18" s="25">
        <v>87.09</v>
      </c>
      <c r="G18" s="18">
        <v>4952.87</v>
      </c>
      <c r="H18" s="18">
        <v>175000</v>
      </c>
      <c r="I18" s="18">
        <v>-175000</v>
      </c>
      <c r="J18" s="18">
        <f t="shared" ref="J18:J23" si="6">F18*G18</f>
        <v>431345.44829999999</v>
      </c>
      <c r="K18" s="18">
        <f t="shared" ref="K18:K23" si="7">J18-H18</f>
        <v>256345.44829999999</v>
      </c>
      <c r="L18" s="18">
        <f t="shared" ref="L18:L23" si="8">E18-D18</f>
        <v>2516</v>
      </c>
      <c r="M18" s="26">
        <f>K18/H18</f>
        <v>1.4648311331428572</v>
      </c>
      <c r="N18" s="26">
        <f t="shared" si="3"/>
        <v>0.13982235147586053</v>
      </c>
      <c r="O18" s="17" t="s">
        <v>30</v>
      </c>
      <c r="P18" s="61"/>
      <c r="Q18" s="27">
        <f t="shared" si="4"/>
        <v>6.8931506849315065</v>
      </c>
      <c r="R18" s="28"/>
      <c r="S18" s="29"/>
      <c r="T18" s="18"/>
    </row>
    <row r="19" spans="1:256" x14ac:dyDescent="0.25">
      <c r="A19" s="17">
        <v>2</v>
      </c>
      <c r="B19" t="s">
        <v>50</v>
      </c>
      <c r="C19" s="17" t="s">
        <v>51</v>
      </c>
      <c r="D19" s="24">
        <v>43439</v>
      </c>
      <c r="E19" s="24">
        <v>46080</v>
      </c>
      <c r="F19" s="25">
        <v>87.09</v>
      </c>
      <c r="G19" s="18">
        <v>5807</v>
      </c>
      <c r="H19" s="18">
        <v>190000</v>
      </c>
      <c r="I19" s="18">
        <v>-190000</v>
      </c>
      <c r="J19" s="18">
        <f t="shared" si="6"/>
        <v>505731.63</v>
      </c>
      <c r="K19" s="18">
        <f t="shared" si="7"/>
        <v>315731.63</v>
      </c>
      <c r="L19" s="18">
        <f t="shared" si="8"/>
        <v>2641</v>
      </c>
      <c r="M19" s="26">
        <f t="shared" ref="M19:M24" si="9">K19/H19</f>
        <v>1.6617454210526317</v>
      </c>
      <c r="N19" s="26">
        <f t="shared" si="3"/>
        <v>0.14488069955997296</v>
      </c>
      <c r="O19" s="17" t="s">
        <v>30</v>
      </c>
      <c r="P19" s="61"/>
      <c r="Q19" s="27">
        <f t="shared" si="4"/>
        <v>7.2356164383561641</v>
      </c>
      <c r="R19" s="28"/>
      <c r="S19" s="29"/>
      <c r="T19" s="18"/>
    </row>
    <row r="20" spans="1:256" x14ac:dyDescent="0.25">
      <c r="A20" s="17">
        <v>3</v>
      </c>
      <c r="B20" t="s">
        <v>52</v>
      </c>
      <c r="C20" s="23" t="s">
        <v>53</v>
      </c>
      <c r="D20" s="24">
        <v>42958</v>
      </c>
      <c r="E20" s="24">
        <v>46080</v>
      </c>
      <c r="F20" s="25">
        <v>431.43150000000003</v>
      </c>
      <c r="G20" s="18">
        <v>5121.7129999999997</v>
      </c>
      <c r="H20" s="18">
        <v>600000</v>
      </c>
      <c r="I20" s="18">
        <v>-600000</v>
      </c>
      <c r="J20" s="18">
        <f t="shared" si="6"/>
        <v>2209668.3221594999</v>
      </c>
      <c r="K20" s="18">
        <f t="shared" si="7"/>
        <v>1609668.3221594999</v>
      </c>
      <c r="L20" s="18">
        <f t="shared" si="8"/>
        <v>3122</v>
      </c>
      <c r="M20" s="26">
        <f t="shared" si="9"/>
        <v>2.6827805369325</v>
      </c>
      <c r="N20" s="26">
        <f t="shared" si="3"/>
        <v>0.16464316750326558</v>
      </c>
      <c r="O20" s="17" t="s">
        <v>30</v>
      </c>
      <c r="P20" s="17"/>
      <c r="Q20" s="27">
        <f t="shared" si="4"/>
        <v>8.5534246575342472</v>
      </c>
      <c r="R20" s="28"/>
      <c r="S20" s="29"/>
      <c r="T20" s="18"/>
    </row>
    <row r="21" spans="1:256" x14ac:dyDescent="0.25">
      <c r="A21" s="17">
        <v>4</v>
      </c>
      <c r="B21" t="s">
        <v>54</v>
      </c>
      <c r="C21" s="23" t="s">
        <v>55</v>
      </c>
      <c r="D21" s="24">
        <v>43179</v>
      </c>
      <c r="E21" s="24">
        <v>46080</v>
      </c>
      <c r="F21" s="25">
        <v>109.9096</v>
      </c>
      <c r="G21" s="18">
        <v>11887.494000000001</v>
      </c>
      <c r="H21" s="18">
        <v>540000</v>
      </c>
      <c r="I21" s="18">
        <v>-540000</v>
      </c>
      <c r="J21" s="18">
        <f t="shared" si="6"/>
        <v>1306549.7105424001</v>
      </c>
      <c r="K21" s="18">
        <f t="shared" si="7"/>
        <v>766549.71054240013</v>
      </c>
      <c r="L21" s="18">
        <f t="shared" si="8"/>
        <v>2901</v>
      </c>
      <c r="M21" s="26">
        <f t="shared" si="9"/>
        <v>1.4195365010044447</v>
      </c>
      <c r="N21" s="26">
        <f t="shared" si="3"/>
        <v>0.11758529140398943</v>
      </c>
      <c r="O21" s="17" t="s">
        <v>30</v>
      </c>
      <c r="P21" s="17"/>
      <c r="Q21" s="27">
        <f t="shared" si="4"/>
        <v>7.9479452054794519</v>
      </c>
      <c r="R21" s="28"/>
      <c r="S21" s="29"/>
      <c r="T21" s="18"/>
    </row>
    <row r="22" spans="1:256" x14ac:dyDescent="0.25">
      <c r="A22" s="17">
        <v>5</v>
      </c>
      <c r="B22" t="s">
        <v>56</v>
      </c>
      <c r="C22" s="23" t="s">
        <v>57</v>
      </c>
      <c r="D22" s="24">
        <v>43187</v>
      </c>
      <c r="E22" s="24">
        <v>46080</v>
      </c>
      <c r="F22" s="25">
        <v>94.906300000000002</v>
      </c>
      <c r="G22" s="18">
        <v>4836</v>
      </c>
      <c r="H22" s="18">
        <v>180000</v>
      </c>
      <c r="I22" s="18">
        <v>-180000</v>
      </c>
      <c r="J22" s="18">
        <f t="shared" si="6"/>
        <v>458966.86680000002</v>
      </c>
      <c r="K22" s="18">
        <f t="shared" si="7"/>
        <v>278966.86680000002</v>
      </c>
      <c r="L22" s="18">
        <f t="shared" si="8"/>
        <v>2893</v>
      </c>
      <c r="M22" s="26">
        <f t="shared" si="9"/>
        <v>1.5498159266666667</v>
      </c>
      <c r="N22" s="26">
        <f t="shared" si="3"/>
        <v>0.1253505837872495</v>
      </c>
      <c r="O22" s="17" t="s">
        <v>30</v>
      </c>
      <c r="P22" s="17"/>
      <c r="Q22" s="27">
        <f t="shared" si="4"/>
        <v>7.9260273972602739</v>
      </c>
      <c r="R22" s="28"/>
      <c r="S22" s="29"/>
      <c r="T22" s="18"/>
    </row>
    <row r="23" spans="1:256" ht="15.75" thickBot="1" x14ac:dyDescent="0.3">
      <c r="A23" s="41">
        <v>6</v>
      </c>
      <c r="B23" t="s">
        <v>56</v>
      </c>
      <c r="C23" s="37" t="s">
        <v>57</v>
      </c>
      <c r="D23" s="38">
        <v>43564</v>
      </c>
      <c r="E23" s="24">
        <v>46080</v>
      </c>
      <c r="F23" s="25">
        <v>94.906300000000002</v>
      </c>
      <c r="G23" s="39">
        <v>4593.07</v>
      </c>
      <c r="H23" s="39">
        <v>180000</v>
      </c>
      <c r="I23" s="39">
        <v>-180000</v>
      </c>
      <c r="J23" s="39">
        <f t="shared" si="6"/>
        <v>435911.27934099996</v>
      </c>
      <c r="K23" s="39">
        <f t="shared" si="7"/>
        <v>255911.27934099996</v>
      </c>
      <c r="L23" s="39">
        <f t="shared" si="8"/>
        <v>2516</v>
      </c>
      <c r="M23" s="40">
        <f t="shared" si="9"/>
        <v>1.421729329672222</v>
      </c>
      <c r="N23" s="26">
        <f t="shared" si="3"/>
        <v>0.13690897102414956</v>
      </c>
      <c r="O23" s="41" t="s">
        <v>30</v>
      </c>
      <c r="P23" s="41"/>
      <c r="Q23" s="27">
        <f t="shared" si="4"/>
        <v>6.8931506849315065</v>
      </c>
      <c r="R23" s="28"/>
      <c r="S23" s="42"/>
      <c r="T23" s="18"/>
    </row>
    <row r="24" spans="1:256" ht="15.75" thickBot="1" x14ac:dyDescent="0.3">
      <c r="A24" s="43"/>
      <c r="B24" s="44"/>
      <c r="C24" s="45"/>
      <c r="D24" s="46"/>
      <c r="E24" s="24"/>
      <c r="F24" s="25"/>
      <c r="G24" s="47" t="s">
        <v>49</v>
      </c>
      <c r="H24" s="47">
        <f>SUM(H18:H23)</f>
        <v>1865000</v>
      </c>
      <c r="I24" s="47">
        <f>SUM(I18:I23)</f>
        <v>-1865000</v>
      </c>
      <c r="J24" s="47">
        <f>SUM(J18:J23)</f>
        <v>5348173.2571429005</v>
      </c>
      <c r="K24" s="47">
        <f>SUM(K18:K23)</f>
        <v>3483173.2571429005</v>
      </c>
      <c r="L24" s="47">
        <f>AVERAGE(L18:L23)</f>
        <v>2764.8333333333335</v>
      </c>
      <c r="M24" s="49">
        <f t="shared" si="9"/>
        <v>1.8676532209881505</v>
      </c>
      <c r="N24" s="26">
        <f t="shared" si="3"/>
        <v>0.14921282925570734</v>
      </c>
      <c r="O24" s="50"/>
      <c r="P24" s="50"/>
      <c r="Q24" s="51">
        <f t="shared" si="4"/>
        <v>7.5748858447488585</v>
      </c>
      <c r="R24" s="28"/>
      <c r="S24" s="52"/>
      <c r="T24" s="18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  <c r="FM24" s="54"/>
      <c r="FN24" s="54"/>
      <c r="FO24" s="54"/>
      <c r="FP24" s="54"/>
      <c r="FQ24" s="54"/>
      <c r="FR24" s="54"/>
      <c r="FS24" s="54"/>
      <c r="FT24" s="54"/>
      <c r="FU24" s="54"/>
      <c r="FV24" s="54"/>
      <c r="FW24" s="54"/>
      <c r="FX24" s="54"/>
      <c r="FY24" s="54"/>
      <c r="FZ24" s="54"/>
      <c r="GA24" s="54"/>
      <c r="GB24" s="54"/>
      <c r="GC24" s="54"/>
      <c r="GD24" s="54"/>
      <c r="GE24" s="54"/>
      <c r="GF24" s="54"/>
      <c r="GG24" s="54"/>
      <c r="GH24" s="54"/>
      <c r="GI24" s="54"/>
      <c r="GJ24" s="54"/>
      <c r="GK24" s="54"/>
      <c r="GL24" s="54"/>
      <c r="GM24" s="54"/>
      <c r="GN24" s="54"/>
      <c r="GO24" s="54"/>
      <c r="GP24" s="54"/>
      <c r="GQ24" s="54"/>
      <c r="GR24" s="54"/>
      <c r="GS24" s="54"/>
      <c r="GT24" s="54"/>
      <c r="GU24" s="54"/>
      <c r="GV24" s="54"/>
      <c r="GW24" s="54"/>
      <c r="GX24" s="54"/>
      <c r="GY24" s="54"/>
      <c r="GZ24" s="54"/>
      <c r="HA24" s="54"/>
      <c r="HB24" s="54"/>
      <c r="HC24" s="54"/>
      <c r="HD24" s="54"/>
      <c r="HE24" s="54"/>
      <c r="HF24" s="54"/>
      <c r="HG24" s="54"/>
      <c r="HH24" s="54"/>
      <c r="HI24" s="54"/>
      <c r="HJ24" s="54"/>
      <c r="HK24" s="54"/>
      <c r="HL24" s="54"/>
      <c r="HM24" s="54"/>
      <c r="HN24" s="54"/>
      <c r="HO24" s="54"/>
      <c r="HP24" s="54"/>
      <c r="HQ24" s="54"/>
      <c r="HR24" s="54"/>
      <c r="HS24" s="54"/>
      <c r="HT24" s="54"/>
      <c r="HU24" s="54"/>
      <c r="HV24" s="54"/>
      <c r="HW24" s="54"/>
      <c r="HX24" s="54"/>
      <c r="HY24" s="54"/>
      <c r="HZ24" s="54"/>
      <c r="IA24" s="54"/>
      <c r="IB24" s="54"/>
      <c r="IC24" s="54"/>
      <c r="ID24" s="54"/>
      <c r="IE24" s="54"/>
      <c r="IF24" s="54"/>
      <c r="IG24" s="54"/>
      <c r="IH24" s="54"/>
      <c r="II24" s="54"/>
      <c r="IJ24" s="54"/>
      <c r="IK24" s="54"/>
      <c r="IL24" s="54"/>
      <c r="IM24" s="54"/>
      <c r="IN24" s="54"/>
      <c r="IO24" s="54"/>
      <c r="IP24" s="54"/>
      <c r="IQ24" s="54"/>
      <c r="IR24" s="54"/>
      <c r="IS24" s="54"/>
      <c r="IT24" s="54"/>
      <c r="IU24" s="54"/>
      <c r="IV24" s="54"/>
    </row>
    <row r="25" spans="1:256" ht="34.5" x14ac:dyDescent="0.45">
      <c r="A25" s="55"/>
      <c r="B25" s="56"/>
      <c r="C25" s="15" t="s">
        <v>127</v>
      </c>
      <c r="D25" s="57"/>
      <c r="E25" s="24"/>
      <c r="F25" s="25"/>
      <c r="G25" s="55"/>
      <c r="H25" s="58"/>
      <c r="I25" s="58"/>
      <c r="J25" s="59"/>
      <c r="K25" s="58"/>
      <c r="L25" s="58"/>
      <c r="M25" s="58"/>
      <c r="N25" s="26"/>
      <c r="O25" s="58"/>
      <c r="P25" s="55"/>
      <c r="Q25" s="27"/>
      <c r="R25" s="28"/>
      <c r="S25" s="60"/>
      <c r="T25" s="18"/>
    </row>
    <row r="26" spans="1:256" x14ac:dyDescent="0.25">
      <c r="A26" s="17">
        <v>1</v>
      </c>
      <c r="B26" t="s">
        <v>58</v>
      </c>
      <c r="C26" s="23" t="s">
        <v>59</v>
      </c>
      <c r="D26" s="24">
        <v>42919</v>
      </c>
      <c r="E26" s="24">
        <v>46080</v>
      </c>
      <c r="F26" s="25">
        <v>126.59610000000001</v>
      </c>
      <c r="G26" s="18">
        <v>7083.4</v>
      </c>
      <c r="H26" s="18">
        <v>371000</v>
      </c>
      <c r="I26" s="18">
        <v>-371000</v>
      </c>
      <c r="J26" s="18">
        <f>F26*G26</f>
        <v>896730.81474000006</v>
      </c>
      <c r="K26" s="62">
        <f>J26-H26</f>
        <v>525730.81474000006</v>
      </c>
      <c r="L26" s="18">
        <f>E26-D26</f>
        <v>3161</v>
      </c>
      <c r="M26" s="26">
        <f>K26/H26</f>
        <v>1.4170641906738546</v>
      </c>
      <c r="N26" s="26">
        <f t="shared" si="3"/>
        <v>0.10728191158314715</v>
      </c>
      <c r="O26" s="63" t="s">
        <v>30</v>
      </c>
      <c r="P26" s="63" t="s">
        <v>37</v>
      </c>
      <c r="Q26" s="27">
        <f t="shared" si="4"/>
        <v>8.6602739726027398</v>
      </c>
      <c r="R26" s="28"/>
      <c r="S26" s="29"/>
      <c r="T26" s="18"/>
    </row>
    <row r="27" spans="1:256" x14ac:dyDescent="0.25">
      <c r="A27" s="17">
        <v>2</v>
      </c>
      <c r="B27" t="s">
        <v>60</v>
      </c>
      <c r="C27" s="23" t="s">
        <v>61</v>
      </c>
      <c r="D27" s="24">
        <v>42677</v>
      </c>
      <c r="E27" s="24">
        <v>46080</v>
      </c>
      <c r="F27" s="25">
        <v>207.82</v>
      </c>
      <c r="G27" s="18">
        <v>5403</v>
      </c>
      <c r="H27" s="18">
        <v>340000</v>
      </c>
      <c r="I27" s="18">
        <v>-340000</v>
      </c>
      <c r="J27" s="18">
        <f t="shared" ref="J27:J34" si="10">F27*G27</f>
        <v>1122851.46</v>
      </c>
      <c r="K27" s="62">
        <f t="shared" ref="K27:K34" si="11">J27-H27</f>
        <v>782851.46</v>
      </c>
      <c r="L27" s="18">
        <f t="shared" ref="L27:L34" si="12">E27-D27</f>
        <v>3403</v>
      </c>
      <c r="M27" s="26">
        <f t="shared" ref="M27:M35" si="13">K27/H27</f>
        <v>2.302504294117647</v>
      </c>
      <c r="N27" s="26">
        <f t="shared" si="3"/>
        <v>0.13671151865829834</v>
      </c>
      <c r="O27" s="17" t="s">
        <v>30</v>
      </c>
      <c r="P27" s="17"/>
      <c r="Q27" s="27">
        <f t="shared" si="4"/>
        <v>9.3232876712328761</v>
      </c>
      <c r="R27" s="28"/>
      <c r="S27" s="29"/>
      <c r="T27" s="18"/>
    </row>
    <row r="28" spans="1:256" x14ac:dyDescent="0.25">
      <c r="A28" s="17">
        <v>3</v>
      </c>
      <c r="B28" t="s">
        <v>62</v>
      </c>
      <c r="C28" s="23" t="s">
        <v>63</v>
      </c>
      <c r="D28" s="24">
        <v>42944</v>
      </c>
      <c r="E28" s="24">
        <v>46080</v>
      </c>
      <c r="F28" s="25">
        <v>47.692999999999998</v>
      </c>
      <c r="G28" s="18">
        <v>82448.930999999997</v>
      </c>
      <c r="H28" s="18">
        <v>2360000</v>
      </c>
      <c r="I28" s="18">
        <v>-2360000</v>
      </c>
      <c r="J28" s="18">
        <f t="shared" si="10"/>
        <v>3932236.8661829997</v>
      </c>
      <c r="K28" s="62">
        <f t="shared" si="11"/>
        <v>1572236.8661829997</v>
      </c>
      <c r="L28" s="18">
        <f t="shared" si="12"/>
        <v>3136</v>
      </c>
      <c r="M28" s="26">
        <f t="shared" si="13"/>
        <v>0.66620206194194898</v>
      </c>
      <c r="N28" s="26">
        <f t="shared" si="3"/>
        <v>6.1223726181203197E-2</v>
      </c>
      <c r="O28" s="17" t="s">
        <v>22</v>
      </c>
      <c r="P28" s="17" t="s">
        <v>23</v>
      </c>
      <c r="Q28" s="27">
        <f t="shared" si="4"/>
        <v>8.5917808219178085</v>
      </c>
      <c r="R28" s="28"/>
      <c r="S28" s="29"/>
      <c r="T28" s="18"/>
    </row>
    <row r="29" spans="1:256" x14ac:dyDescent="0.25">
      <c r="A29" s="17">
        <v>4</v>
      </c>
      <c r="B29" t="s">
        <v>64</v>
      </c>
      <c r="C29" s="23" t="s">
        <v>65</v>
      </c>
      <c r="D29" s="24">
        <v>43564</v>
      </c>
      <c r="E29" s="24">
        <v>46080</v>
      </c>
      <c r="F29" s="25">
        <v>1159.0170000000001</v>
      </c>
      <c r="G29" s="18">
        <v>2467.0030000000002</v>
      </c>
      <c r="H29" s="18">
        <v>1236960</v>
      </c>
      <c r="I29" s="18">
        <v>-1236960</v>
      </c>
      <c r="J29" s="18">
        <f t="shared" si="10"/>
        <v>2859298.4160510004</v>
      </c>
      <c r="K29" s="62">
        <f t="shared" si="11"/>
        <v>1622338.4160510004</v>
      </c>
      <c r="L29" s="18">
        <f t="shared" si="12"/>
        <v>2516</v>
      </c>
      <c r="M29" s="26">
        <f t="shared" si="13"/>
        <v>1.3115528521948974</v>
      </c>
      <c r="N29" s="26">
        <f t="shared" si="3"/>
        <v>0.12925517503887685</v>
      </c>
      <c r="O29" s="17" t="s">
        <v>30</v>
      </c>
      <c r="P29" s="23"/>
      <c r="Q29" s="27">
        <f t="shared" si="4"/>
        <v>6.8931506849315065</v>
      </c>
      <c r="R29" s="28"/>
      <c r="S29" s="29"/>
      <c r="T29" s="18"/>
    </row>
    <row r="30" spans="1:256" x14ac:dyDescent="0.25">
      <c r="A30" s="64">
        <v>5</v>
      </c>
      <c r="B30" t="s">
        <v>66</v>
      </c>
      <c r="C30" s="65" t="s">
        <v>67</v>
      </c>
      <c r="D30" s="66">
        <v>42873</v>
      </c>
      <c r="E30" s="24">
        <v>46080</v>
      </c>
      <c r="F30" s="25">
        <v>567.29520000000002</v>
      </c>
      <c r="G30" s="67">
        <v>5942.9430000000002</v>
      </c>
      <c r="H30" s="67">
        <v>2129437</v>
      </c>
      <c r="I30" s="67">
        <v>-2129437</v>
      </c>
      <c r="J30" s="18">
        <f t="shared" si="10"/>
        <v>3371403.0377736003</v>
      </c>
      <c r="K30" s="62">
        <f t="shared" si="11"/>
        <v>1241966.0377736003</v>
      </c>
      <c r="L30" s="18">
        <f t="shared" si="12"/>
        <v>3207</v>
      </c>
      <c r="M30" s="26">
        <f t="shared" si="13"/>
        <v>0.58323680755692719</v>
      </c>
      <c r="N30" s="26">
        <f t="shared" si="3"/>
        <v>5.368554287556937E-2</v>
      </c>
      <c r="O30" s="64" t="s">
        <v>68</v>
      </c>
      <c r="P30" s="68" t="s">
        <v>37</v>
      </c>
      <c r="Q30" s="27">
        <f t="shared" si="4"/>
        <v>8.786301369863013</v>
      </c>
      <c r="R30" s="28"/>
      <c r="S30" s="29"/>
      <c r="T30" s="18"/>
    </row>
    <row r="31" spans="1:256" x14ac:dyDescent="0.25">
      <c r="A31" s="17">
        <v>6</v>
      </c>
      <c r="B31" t="s">
        <v>69</v>
      </c>
      <c r="C31" s="23" t="s">
        <v>70</v>
      </c>
      <c r="D31" s="24">
        <v>43074</v>
      </c>
      <c r="E31" s="24">
        <v>46080</v>
      </c>
      <c r="F31" s="25">
        <v>112.17</v>
      </c>
      <c r="G31" s="18">
        <v>12876</v>
      </c>
      <c r="H31" s="18">
        <v>505000</v>
      </c>
      <c r="I31" s="18">
        <v>-505000</v>
      </c>
      <c r="J31" s="18">
        <f t="shared" si="10"/>
        <v>1444300.92</v>
      </c>
      <c r="K31" s="62">
        <f t="shared" si="11"/>
        <v>939300.91999999993</v>
      </c>
      <c r="L31" s="18">
        <f t="shared" si="12"/>
        <v>3006</v>
      </c>
      <c r="M31" s="26">
        <f t="shared" si="13"/>
        <v>1.8600018217821781</v>
      </c>
      <c r="N31" s="26">
        <f t="shared" si="3"/>
        <v>0.13609262395893129</v>
      </c>
      <c r="O31" s="17" t="s">
        <v>30</v>
      </c>
      <c r="P31" s="17"/>
      <c r="Q31" s="27">
        <f t="shared" si="4"/>
        <v>8.2356164383561641</v>
      </c>
      <c r="R31" s="28"/>
      <c r="S31" s="29"/>
      <c r="T31" s="18"/>
    </row>
    <row r="32" spans="1:256" x14ac:dyDescent="0.25">
      <c r="A32" s="17">
        <v>7</v>
      </c>
      <c r="B32" t="s">
        <v>71</v>
      </c>
      <c r="C32" s="23" t="s">
        <v>72</v>
      </c>
      <c r="D32" s="24">
        <v>44663</v>
      </c>
      <c r="E32" s="24">
        <v>46080</v>
      </c>
      <c r="F32" s="25">
        <v>253.7405</v>
      </c>
      <c r="G32" s="18">
        <v>1166.1289999999999</v>
      </c>
      <c r="H32" s="18">
        <v>200000</v>
      </c>
      <c r="I32" s="18">
        <v>-200000</v>
      </c>
      <c r="J32" s="18">
        <f t="shared" si="10"/>
        <v>295894.15552449995</v>
      </c>
      <c r="K32" s="62">
        <f t="shared" si="11"/>
        <v>95894.155524499947</v>
      </c>
      <c r="L32" s="18">
        <f t="shared" si="12"/>
        <v>1417</v>
      </c>
      <c r="M32" s="26">
        <f t="shared" si="13"/>
        <v>0.47947077762249973</v>
      </c>
      <c r="N32" s="26">
        <f t="shared" si="3"/>
        <v>0.10615783935323231</v>
      </c>
      <c r="O32" s="69" t="s">
        <v>30</v>
      </c>
      <c r="P32" s="70"/>
      <c r="Q32" s="27">
        <f t="shared" si="4"/>
        <v>3.882191780821918</v>
      </c>
      <c r="R32" s="28"/>
      <c r="S32" s="29"/>
      <c r="T32" s="18"/>
    </row>
    <row r="33" spans="1:256" x14ac:dyDescent="0.25">
      <c r="A33" s="17">
        <v>8</v>
      </c>
      <c r="B33" t="s">
        <v>73</v>
      </c>
      <c r="C33" s="23" t="s">
        <v>74</v>
      </c>
      <c r="D33" s="24">
        <v>44663</v>
      </c>
      <c r="E33" s="24">
        <v>46080</v>
      </c>
      <c r="F33" s="25">
        <v>395.54759999999999</v>
      </c>
      <c r="G33" s="18">
        <v>2627.5680000000002</v>
      </c>
      <c r="H33" s="18">
        <v>800000</v>
      </c>
      <c r="I33" s="18">
        <v>-800000</v>
      </c>
      <c r="J33" s="18">
        <f t="shared" si="10"/>
        <v>1039328.2162368001</v>
      </c>
      <c r="K33" s="62">
        <f t="shared" si="11"/>
        <v>239328.21623680007</v>
      </c>
      <c r="L33" s="18">
        <f t="shared" si="12"/>
        <v>1417</v>
      </c>
      <c r="M33" s="26">
        <f t="shared" si="13"/>
        <v>0.29916027029600006</v>
      </c>
      <c r="N33" s="26">
        <f t="shared" si="3"/>
        <v>6.9739369477727076E-2</v>
      </c>
      <c r="O33" s="69" t="s">
        <v>68</v>
      </c>
      <c r="P33" s="70"/>
      <c r="Q33" s="27">
        <f t="shared" si="4"/>
        <v>3.882191780821918</v>
      </c>
      <c r="R33" s="28"/>
      <c r="S33" s="29"/>
      <c r="T33" s="18"/>
    </row>
    <row r="34" spans="1:256" ht="18.75" thickBot="1" x14ac:dyDescent="0.3">
      <c r="A34" s="41">
        <v>9</v>
      </c>
      <c r="B34" t="s">
        <v>26</v>
      </c>
      <c r="C34" s="37" t="s">
        <v>27</v>
      </c>
      <c r="D34" s="38">
        <v>43341</v>
      </c>
      <c r="E34" s="24">
        <v>46080</v>
      </c>
      <c r="F34" s="25">
        <v>83.852599999999995</v>
      </c>
      <c r="G34" s="39">
        <v>18682</v>
      </c>
      <c r="H34" s="39">
        <v>820000</v>
      </c>
      <c r="I34" s="39">
        <v>-820000</v>
      </c>
      <c r="J34" s="39">
        <f t="shared" si="10"/>
        <v>1566534.2731999999</v>
      </c>
      <c r="K34" s="71">
        <f t="shared" si="11"/>
        <v>746534.27319999994</v>
      </c>
      <c r="L34" s="39">
        <f t="shared" si="12"/>
        <v>2739</v>
      </c>
      <c r="M34" s="40">
        <f t="shared" si="13"/>
        <v>0.91040765024390236</v>
      </c>
      <c r="N34" s="26">
        <f t="shared" si="3"/>
        <v>9.009148057967864E-2</v>
      </c>
      <c r="O34" s="41" t="s">
        <v>22</v>
      </c>
      <c r="P34" s="72"/>
      <c r="Q34" s="27">
        <f t="shared" si="4"/>
        <v>7.5041095890410956</v>
      </c>
      <c r="R34" s="28"/>
      <c r="S34" s="42"/>
      <c r="T34" s="18"/>
    </row>
    <row r="35" spans="1:256" ht="18.75" thickBot="1" x14ac:dyDescent="0.3">
      <c r="A35" s="43"/>
      <c r="B35" s="44"/>
      <c r="C35" s="45"/>
      <c r="D35" s="46"/>
      <c r="E35" s="24"/>
      <c r="F35" s="25"/>
      <c r="G35" s="47" t="s">
        <v>49</v>
      </c>
      <c r="H35" s="47">
        <f>SUM(H26:H34)</f>
        <v>8762397</v>
      </c>
      <c r="I35" s="47">
        <f>SUM(I26:I34)</f>
        <v>-8762397</v>
      </c>
      <c r="J35" s="47">
        <f>SUM(J26:J34)</f>
        <v>16528578.1597089</v>
      </c>
      <c r="K35" s="47">
        <f>SUM(K26:K34)</f>
        <v>7766181.1597089004</v>
      </c>
      <c r="L35" s="47">
        <f>AVERAGE(L26:L34)</f>
        <v>2666.8888888888887</v>
      </c>
      <c r="M35" s="49">
        <f t="shared" si="13"/>
        <v>0.88630784016164754</v>
      </c>
      <c r="N35" s="26">
        <f t="shared" si="3"/>
        <v>9.0740218563438502E-2</v>
      </c>
      <c r="O35" s="50"/>
      <c r="P35" s="73"/>
      <c r="Q35" s="51">
        <f t="shared" si="4"/>
        <v>7.3065449010654486</v>
      </c>
      <c r="R35" s="28"/>
      <c r="S35" s="52"/>
      <c r="T35" s="18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  <c r="FK35" s="54"/>
      <c r="FL35" s="54"/>
      <c r="FM35" s="54"/>
      <c r="FN35" s="54"/>
      <c r="FO35" s="54"/>
      <c r="FP35" s="54"/>
      <c r="FQ35" s="54"/>
      <c r="FR35" s="54"/>
      <c r="FS35" s="54"/>
      <c r="FT35" s="54"/>
      <c r="FU35" s="54"/>
      <c r="FV35" s="54"/>
      <c r="FW35" s="54"/>
      <c r="FX35" s="54"/>
      <c r="FY35" s="54"/>
      <c r="FZ35" s="54"/>
      <c r="GA35" s="54"/>
      <c r="GB35" s="54"/>
      <c r="GC35" s="54"/>
      <c r="GD35" s="54"/>
      <c r="GE35" s="54"/>
      <c r="GF35" s="54"/>
      <c r="GG35" s="54"/>
      <c r="GH35" s="54"/>
      <c r="GI35" s="54"/>
      <c r="GJ35" s="54"/>
      <c r="GK35" s="54"/>
      <c r="GL35" s="54"/>
      <c r="GM35" s="54"/>
      <c r="GN35" s="54"/>
      <c r="GO35" s="54"/>
      <c r="GP35" s="54"/>
      <c r="GQ35" s="54"/>
      <c r="GR35" s="54"/>
      <c r="GS35" s="54"/>
      <c r="GT35" s="54"/>
      <c r="GU35" s="54"/>
      <c r="GV35" s="54"/>
      <c r="GW35" s="54"/>
      <c r="GX35" s="54"/>
      <c r="GY35" s="54"/>
      <c r="GZ35" s="54"/>
      <c r="HA35" s="54"/>
      <c r="HB35" s="54"/>
      <c r="HC35" s="54"/>
      <c r="HD35" s="54"/>
      <c r="HE35" s="54"/>
      <c r="HF35" s="54"/>
      <c r="HG35" s="54"/>
      <c r="HH35" s="54"/>
      <c r="HI35" s="54"/>
      <c r="HJ35" s="54"/>
      <c r="HK35" s="54"/>
      <c r="HL35" s="54"/>
      <c r="HM35" s="54"/>
      <c r="HN35" s="54"/>
      <c r="HO35" s="54"/>
      <c r="HP35" s="54"/>
      <c r="HQ35" s="54"/>
      <c r="HR35" s="54"/>
      <c r="HS35" s="54"/>
      <c r="HT35" s="54"/>
      <c r="HU35" s="54"/>
      <c r="HV35" s="54"/>
      <c r="HW35" s="54"/>
      <c r="HX35" s="54"/>
      <c r="HY35" s="54"/>
      <c r="HZ35" s="54"/>
      <c r="IA35" s="54"/>
      <c r="IB35" s="54"/>
      <c r="IC35" s="54"/>
      <c r="ID35" s="54"/>
      <c r="IE35" s="54"/>
      <c r="IF35" s="54"/>
      <c r="IG35" s="54"/>
      <c r="IH35" s="54"/>
      <c r="II35" s="54"/>
      <c r="IJ35" s="54"/>
      <c r="IK35" s="54"/>
      <c r="IL35" s="54"/>
      <c r="IM35" s="54"/>
      <c r="IN35" s="54"/>
      <c r="IO35" s="54"/>
      <c r="IP35" s="54"/>
      <c r="IQ35" s="54"/>
      <c r="IR35" s="54"/>
      <c r="IS35" s="54"/>
      <c r="IT35" s="54"/>
      <c r="IU35" s="54"/>
      <c r="IV35" s="54"/>
    </row>
    <row r="36" spans="1:256" ht="34.5" x14ac:dyDescent="0.45">
      <c r="A36" s="55"/>
      <c r="B36" s="56"/>
      <c r="C36" s="15" t="s">
        <v>128</v>
      </c>
      <c r="D36" s="57"/>
      <c r="E36" s="24"/>
      <c r="F36" s="25"/>
      <c r="G36" s="55"/>
      <c r="H36" s="58"/>
      <c r="I36" s="58"/>
      <c r="J36" s="59"/>
      <c r="K36" s="58"/>
      <c r="L36" s="58"/>
      <c r="M36" s="58"/>
      <c r="N36" s="26"/>
      <c r="O36" s="58"/>
      <c r="P36" s="55"/>
      <c r="Q36" s="27"/>
      <c r="R36" s="28"/>
      <c r="S36" s="60"/>
      <c r="T36" s="18"/>
    </row>
    <row r="37" spans="1:256" x14ac:dyDescent="0.25">
      <c r="A37" s="35">
        <v>1</v>
      </c>
      <c r="B37" t="s">
        <v>75</v>
      </c>
      <c r="C37" s="32" t="s">
        <v>76</v>
      </c>
      <c r="D37" s="33">
        <v>42767</v>
      </c>
      <c r="E37" s="24">
        <v>46080</v>
      </c>
      <c r="F37" s="25">
        <v>681.17079999999999</v>
      </c>
      <c r="G37" s="34">
        <v>8293.2260000000006</v>
      </c>
      <c r="H37" s="34">
        <v>3210000</v>
      </c>
      <c r="I37" s="34">
        <v>-3210000</v>
      </c>
      <c r="J37" s="34">
        <f>F37*G37</f>
        <v>5649103.3890008004</v>
      </c>
      <c r="K37" s="34">
        <f>J37-H37</f>
        <v>2439103.3890008004</v>
      </c>
      <c r="L37" s="34">
        <f>E37-D37</f>
        <v>3313</v>
      </c>
      <c r="M37" s="74">
        <f>K37/H37</f>
        <v>0.75984529252361388</v>
      </c>
      <c r="N37" s="26">
        <f t="shared" si="3"/>
        <v>6.4251884216122601E-2</v>
      </c>
      <c r="O37" s="69" t="s">
        <v>68</v>
      </c>
      <c r="P37" s="30" t="s">
        <v>37</v>
      </c>
      <c r="Q37" s="27">
        <f t="shared" si="4"/>
        <v>9.0767123287671225</v>
      </c>
      <c r="R37" s="28"/>
      <c r="S37" s="29"/>
      <c r="T37" s="18"/>
    </row>
    <row r="38" spans="1:256" ht="23.25" x14ac:dyDescent="0.25">
      <c r="A38" s="17">
        <v>2</v>
      </c>
      <c r="B38" t="s">
        <v>77</v>
      </c>
      <c r="C38" s="23" t="s">
        <v>78</v>
      </c>
      <c r="D38" s="24">
        <v>43176</v>
      </c>
      <c r="E38" s="24">
        <v>46080</v>
      </c>
      <c r="F38" s="25">
        <v>63.89</v>
      </c>
      <c r="G38" s="18">
        <v>13786.2</v>
      </c>
      <c r="H38" s="18">
        <v>360000</v>
      </c>
      <c r="I38" s="18">
        <v>-360000</v>
      </c>
      <c r="J38" s="34">
        <f t="shared" ref="J38:J43" si="14">F38*G38</f>
        <v>880800.31800000009</v>
      </c>
      <c r="K38" s="34">
        <f t="shared" ref="K38:K43" si="15">J38-H38</f>
        <v>520800.31800000009</v>
      </c>
      <c r="L38" s="34">
        <f t="shared" ref="L38:L43" si="16">E38-D38</f>
        <v>2904</v>
      </c>
      <c r="M38" s="74">
        <f t="shared" ref="M38:M91" si="17">K38/H38</f>
        <v>1.4466675500000001</v>
      </c>
      <c r="N38" s="26">
        <f t="shared" si="3"/>
        <v>0.11902421335620228</v>
      </c>
      <c r="O38" s="63" t="s">
        <v>30</v>
      </c>
      <c r="P38" s="63" t="s">
        <v>37</v>
      </c>
      <c r="Q38" s="27">
        <f t="shared" si="4"/>
        <v>7.956164383561644</v>
      </c>
      <c r="R38" s="28"/>
      <c r="S38" s="29"/>
      <c r="T38" s="18"/>
    </row>
    <row r="39" spans="1:256" x14ac:dyDescent="0.25">
      <c r="A39" s="17">
        <v>3</v>
      </c>
      <c r="B39" t="s">
        <v>79</v>
      </c>
      <c r="C39" s="23" t="s">
        <v>80</v>
      </c>
      <c r="D39" s="24">
        <v>42677</v>
      </c>
      <c r="E39" s="24">
        <v>46080</v>
      </c>
      <c r="F39" s="25">
        <v>484.35</v>
      </c>
      <c r="G39" s="18">
        <v>759.16</v>
      </c>
      <c r="H39" s="18">
        <v>94000</v>
      </c>
      <c r="I39" s="18">
        <v>-94000</v>
      </c>
      <c r="J39" s="34">
        <f t="shared" si="14"/>
        <v>367699.14600000001</v>
      </c>
      <c r="K39" s="34">
        <f t="shared" si="15"/>
        <v>273699.14600000001</v>
      </c>
      <c r="L39" s="34">
        <f t="shared" si="16"/>
        <v>3403</v>
      </c>
      <c r="M39" s="74">
        <f t="shared" si="17"/>
        <v>2.9116930425531917</v>
      </c>
      <c r="N39" s="26">
        <f t="shared" si="3"/>
        <v>0.15754008367291061</v>
      </c>
      <c r="O39" s="17" t="s">
        <v>30</v>
      </c>
      <c r="P39" s="17"/>
      <c r="Q39" s="27">
        <f t="shared" si="4"/>
        <v>9.3232876712328761</v>
      </c>
      <c r="R39" s="28"/>
      <c r="S39" s="29"/>
      <c r="T39" s="18"/>
    </row>
    <row r="40" spans="1:256" x14ac:dyDescent="0.25">
      <c r="A40" s="17">
        <v>4</v>
      </c>
      <c r="B40" t="s">
        <v>81</v>
      </c>
      <c r="C40" s="23" t="s">
        <v>82</v>
      </c>
      <c r="D40" s="24">
        <v>42835</v>
      </c>
      <c r="E40" s="24">
        <v>46080</v>
      </c>
      <c r="F40" s="25">
        <v>3469.4503</v>
      </c>
      <c r="G40" s="18">
        <v>957.06100000000004</v>
      </c>
      <c r="H40" s="18">
        <v>1900906</v>
      </c>
      <c r="I40" s="18">
        <v>-1900906</v>
      </c>
      <c r="J40" s="34">
        <f t="shared" si="14"/>
        <v>3320475.5735682999</v>
      </c>
      <c r="K40" s="34">
        <f t="shared" si="15"/>
        <v>1419569.5735682999</v>
      </c>
      <c r="L40" s="34">
        <f t="shared" si="16"/>
        <v>3245</v>
      </c>
      <c r="M40" s="74">
        <f t="shared" si="17"/>
        <v>0.74678578192098921</v>
      </c>
      <c r="N40" s="26">
        <f t="shared" si="3"/>
        <v>6.474913224067258E-2</v>
      </c>
      <c r="O40" s="17" t="s">
        <v>22</v>
      </c>
      <c r="P40" s="17"/>
      <c r="Q40" s="27">
        <f t="shared" si="4"/>
        <v>8.8904109589041092</v>
      </c>
      <c r="R40" s="28"/>
      <c r="S40" s="29"/>
      <c r="T40" s="18"/>
    </row>
    <row r="41" spans="1:256" x14ac:dyDescent="0.25">
      <c r="A41" s="17">
        <v>5</v>
      </c>
      <c r="B41" t="s">
        <v>83</v>
      </c>
      <c r="C41" s="23" t="s">
        <v>84</v>
      </c>
      <c r="D41" s="24">
        <v>43347</v>
      </c>
      <c r="E41" s="24">
        <v>46080</v>
      </c>
      <c r="F41" s="25">
        <v>27.0166</v>
      </c>
      <c r="G41" s="18">
        <v>25466</v>
      </c>
      <c r="H41" s="18">
        <v>355000</v>
      </c>
      <c r="I41" s="18">
        <v>-355000</v>
      </c>
      <c r="J41" s="34">
        <f t="shared" si="14"/>
        <v>688004.73560000001</v>
      </c>
      <c r="K41" s="34">
        <f t="shared" si="15"/>
        <v>333004.73560000001</v>
      </c>
      <c r="L41" s="34">
        <f t="shared" si="16"/>
        <v>2733</v>
      </c>
      <c r="M41" s="74">
        <f t="shared" si="17"/>
        <v>0.93804150873239445</v>
      </c>
      <c r="N41" s="26">
        <f t="shared" si="3"/>
        <v>9.239112721670284E-2</v>
      </c>
      <c r="O41" s="17" t="s">
        <v>30</v>
      </c>
      <c r="P41" s="17"/>
      <c r="Q41" s="27">
        <f t="shared" si="4"/>
        <v>7.4876712328767123</v>
      </c>
      <c r="R41" s="28"/>
      <c r="S41" s="29"/>
      <c r="T41" s="18"/>
    </row>
    <row r="42" spans="1:256" x14ac:dyDescent="0.25">
      <c r="A42" s="17">
        <v>6</v>
      </c>
      <c r="B42" t="s">
        <v>85</v>
      </c>
      <c r="C42" s="23" t="s">
        <v>86</v>
      </c>
      <c r="D42" s="24">
        <v>44664</v>
      </c>
      <c r="E42" s="24">
        <v>46080</v>
      </c>
      <c r="F42" s="25">
        <v>1578.8852999999999</v>
      </c>
      <c r="G42" s="18">
        <v>661.3</v>
      </c>
      <c r="H42" s="18">
        <v>800000</v>
      </c>
      <c r="I42" s="18">
        <v>-800000</v>
      </c>
      <c r="J42" s="34">
        <f t="shared" si="14"/>
        <v>1044116.8488899999</v>
      </c>
      <c r="K42" s="34">
        <f t="shared" si="15"/>
        <v>244116.84888999991</v>
      </c>
      <c r="L42" s="34">
        <f t="shared" si="16"/>
        <v>1416</v>
      </c>
      <c r="M42" s="74">
        <f t="shared" si="17"/>
        <v>0.30514606111249987</v>
      </c>
      <c r="N42" s="26">
        <f t="shared" si="3"/>
        <v>7.1058670036374449E-2</v>
      </c>
      <c r="O42" s="17" t="s">
        <v>22</v>
      </c>
      <c r="P42" s="17"/>
      <c r="Q42" s="27">
        <f t="shared" si="4"/>
        <v>3.8794520547945206</v>
      </c>
      <c r="R42" s="28"/>
      <c r="S42" s="29"/>
      <c r="T42" s="18"/>
    </row>
    <row r="43" spans="1:256" ht="15.75" thickBot="1" x14ac:dyDescent="0.3">
      <c r="A43" s="41">
        <v>7</v>
      </c>
      <c r="B43" s="75" t="s">
        <v>87</v>
      </c>
      <c r="C43" s="37" t="s">
        <v>88</v>
      </c>
      <c r="D43" s="38">
        <v>44664</v>
      </c>
      <c r="E43" s="24">
        <v>46080</v>
      </c>
      <c r="F43" s="25">
        <v>19.847000000000001</v>
      </c>
      <c r="G43" s="39">
        <v>16201</v>
      </c>
      <c r="H43" s="39">
        <v>200000</v>
      </c>
      <c r="I43" s="39">
        <v>-200000</v>
      </c>
      <c r="J43" s="76">
        <f t="shared" si="14"/>
        <v>321541.24700000003</v>
      </c>
      <c r="K43" s="76">
        <f t="shared" si="15"/>
        <v>121541.24700000003</v>
      </c>
      <c r="L43" s="76">
        <f t="shared" si="16"/>
        <v>1416</v>
      </c>
      <c r="M43" s="77">
        <f t="shared" si="17"/>
        <v>0.60770623500000021</v>
      </c>
      <c r="N43" s="26">
        <f t="shared" si="3"/>
        <v>0.13019546984822772</v>
      </c>
      <c r="O43" s="41" t="s">
        <v>30</v>
      </c>
      <c r="P43" s="41"/>
      <c r="Q43" s="27">
        <f t="shared" si="4"/>
        <v>3.8794520547945206</v>
      </c>
      <c r="R43" s="28"/>
      <c r="S43" s="42"/>
      <c r="T43" s="18"/>
    </row>
    <row r="44" spans="1:256" ht="15.75" thickBot="1" x14ac:dyDescent="0.3">
      <c r="A44" s="43"/>
      <c r="B44" s="44"/>
      <c r="C44" s="45"/>
      <c r="D44" s="46"/>
      <c r="E44" s="24"/>
      <c r="F44" s="25"/>
      <c r="G44" s="47" t="s">
        <v>49</v>
      </c>
      <c r="H44" s="47">
        <f>SUM(H37:H43)</f>
        <v>6919906</v>
      </c>
      <c r="I44" s="47">
        <f>SUM(I37:I43)</f>
        <v>-6919906</v>
      </c>
      <c r="J44" s="47">
        <f>SUM(J37:J43)</f>
        <v>12271741.258059099</v>
      </c>
      <c r="K44" s="47">
        <f>SUM(K37:K43)</f>
        <v>5351835.2580591012</v>
      </c>
      <c r="L44" s="47">
        <f>AVERAGE(L37:L43)</f>
        <v>2632.8571428571427</v>
      </c>
      <c r="M44" s="78">
        <f t="shared" si="17"/>
        <v>0.77339710366861936</v>
      </c>
      <c r="N44" s="26">
        <f t="shared" si="3"/>
        <v>8.2661361887444107E-2</v>
      </c>
      <c r="O44" s="50"/>
      <c r="P44" s="50"/>
      <c r="Q44" s="51">
        <f t="shared" si="4"/>
        <v>7.2133072407045002</v>
      </c>
      <c r="R44" s="28"/>
      <c r="S44" s="52"/>
      <c r="T44" s="18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4"/>
      <c r="FM44" s="54"/>
      <c r="FN44" s="54"/>
      <c r="FO44" s="54"/>
      <c r="FP44" s="54"/>
      <c r="FQ44" s="54"/>
      <c r="FR44" s="54"/>
      <c r="FS44" s="54"/>
      <c r="FT44" s="54"/>
      <c r="FU44" s="54"/>
      <c r="FV44" s="54"/>
      <c r="FW44" s="54"/>
      <c r="FX44" s="54"/>
      <c r="FY44" s="54"/>
      <c r="FZ44" s="54"/>
      <c r="GA44" s="54"/>
      <c r="GB44" s="54"/>
      <c r="GC44" s="54"/>
      <c r="GD44" s="54"/>
      <c r="GE44" s="54"/>
      <c r="GF44" s="54"/>
      <c r="GG44" s="54"/>
      <c r="GH44" s="54"/>
      <c r="GI44" s="54"/>
      <c r="GJ44" s="54"/>
      <c r="GK44" s="54"/>
      <c r="GL44" s="54"/>
      <c r="GM44" s="54"/>
      <c r="GN44" s="54"/>
      <c r="GO44" s="54"/>
      <c r="GP44" s="54"/>
      <c r="GQ44" s="54"/>
      <c r="GR44" s="54"/>
      <c r="GS44" s="54"/>
      <c r="GT44" s="54"/>
      <c r="GU44" s="54"/>
      <c r="GV44" s="54"/>
      <c r="GW44" s="54"/>
      <c r="GX44" s="54"/>
      <c r="GY44" s="54"/>
      <c r="GZ44" s="54"/>
      <c r="HA44" s="54"/>
      <c r="HB44" s="54"/>
      <c r="HC44" s="54"/>
      <c r="HD44" s="54"/>
      <c r="HE44" s="54"/>
      <c r="HF44" s="54"/>
      <c r="HG44" s="54"/>
      <c r="HH44" s="54"/>
      <c r="HI44" s="54"/>
      <c r="HJ44" s="54"/>
      <c r="HK44" s="54"/>
      <c r="HL44" s="54"/>
      <c r="HM44" s="54"/>
      <c r="HN44" s="54"/>
      <c r="HO44" s="54"/>
      <c r="HP44" s="54"/>
      <c r="HQ44" s="54"/>
      <c r="HR44" s="54"/>
      <c r="HS44" s="54"/>
      <c r="HT44" s="54"/>
      <c r="HU44" s="54"/>
      <c r="HV44" s="54"/>
      <c r="HW44" s="54"/>
      <c r="HX44" s="54"/>
      <c r="HY44" s="54"/>
      <c r="HZ44" s="54"/>
      <c r="IA44" s="54"/>
      <c r="IB44" s="54"/>
      <c r="IC44" s="54"/>
      <c r="ID44" s="54"/>
      <c r="IE44" s="54"/>
      <c r="IF44" s="54"/>
      <c r="IG44" s="54"/>
      <c r="IH44" s="54"/>
      <c r="II44" s="54"/>
      <c r="IJ44" s="54"/>
      <c r="IK44" s="54"/>
      <c r="IL44" s="54"/>
      <c r="IM44" s="54"/>
      <c r="IN44" s="54"/>
      <c r="IO44" s="54"/>
      <c r="IP44" s="54"/>
      <c r="IQ44" s="54"/>
      <c r="IR44" s="54"/>
      <c r="IS44" s="54"/>
      <c r="IT44" s="54"/>
      <c r="IU44" s="54"/>
      <c r="IV44" s="54"/>
    </row>
    <row r="45" spans="1:256" ht="34.5" x14ac:dyDescent="0.45">
      <c r="A45" s="55"/>
      <c r="B45" s="56"/>
      <c r="C45" s="79" t="s">
        <v>129</v>
      </c>
      <c r="D45" s="57"/>
      <c r="E45" s="24"/>
      <c r="F45" s="25"/>
      <c r="G45" s="58"/>
      <c r="H45" s="58"/>
      <c r="I45" s="58"/>
      <c r="J45" s="59"/>
      <c r="K45" s="58"/>
      <c r="L45" s="58"/>
      <c r="M45" s="80"/>
      <c r="N45" s="26"/>
      <c r="O45" s="55"/>
      <c r="P45" s="55"/>
      <c r="Q45" s="27"/>
      <c r="R45" s="28"/>
      <c r="S45" s="60"/>
      <c r="T45" s="18"/>
    </row>
    <row r="46" spans="1:256" ht="15.75" thickBot="1" x14ac:dyDescent="0.3">
      <c r="A46" s="41">
        <v>1</v>
      </c>
      <c r="B46" t="s">
        <v>89</v>
      </c>
      <c r="C46" s="81" t="s">
        <v>90</v>
      </c>
      <c r="D46" s="38">
        <v>44249</v>
      </c>
      <c r="E46" s="24">
        <v>46080</v>
      </c>
      <c r="F46" s="25">
        <v>4919.1859999999997</v>
      </c>
      <c r="G46" s="39">
        <v>33.134999999999998</v>
      </c>
      <c r="H46" s="39">
        <v>120000</v>
      </c>
      <c r="I46" s="39">
        <v>-120000</v>
      </c>
      <c r="J46" s="39">
        <f>F46*G46</f>
        <v>162997.22810999997</v>
      </c>
      <c r="K46" s="39">
        <f>J46-H46</f>
        <v>42997.228109999967</v>
      </c>
      <c r="L46" s="39">
        <f>E46-D46</f>
        <v>1831</v>
      </c>
      <c r="M46" s="77">
        <f t="shared" si="17"/>
        <v>0.35831023424999975</v>
      </c>
      <c r="N46" s="26">
        <f t="shared" si="3"/>
        <v>6.2949494595496036E-2</v>
      </c>
      <c r="O46" s="41" t="s">
        <v>22</v>
      </c>
      <c r="P46" s="82" t="s">
        <v>91</v>
      </c>
      <c r="Q46" s="27">
        <f t="shared" si="4"/>
        <v>5.0164383561643833</v>
      </c>
      <c r="R46" s="28"/>
      <c r="S46" s="42"/>
      <c r="T46" s="18"/>
    </row>
    <row r="47" spans="1:256" ht="15.75" thickBot="1" x14ac:dyDescent="0.3">
      <c r="A47" s="43"/>
      <c r="B47" s="44"/>
      <c r="C47" s="45"/>
      <c r="D47" s="46"/>
      <c r="E47" s="24"/>
      <c r="F47" s="25"/>
      <c r="G47" s="47" t="s">
        <v>49</v>
      </c>
      <c r="H47" s="47">
        <f>SUM(H46)</f>
        <v>120000</v>
      </c>
      <c r="I47" s="47">
        <f>SUM(I46)</f>
        <v>-120000</v>
      </c>
      <c r="J47" s="47">
        <f>SUM(J46)</f>
        <v>162997.22810999997</v>
      </c>
      <c r="K47" s="47">
        <f>SUM(K46)</f>
        <v>42997.228109999967</v>
      </c>
      <c r="L47" s="47">
        <f>AVERAGE(L46)</f>
        <v>1831</v>
      </c>
      <c r="M47" s="78">
        <f t="shared" si="17"/>
        <v>0.35831023424999975</v>
      </c>
      <c r="N47" s="26">
        <f t="shared" si="3"/>
        <v>6.2949494595496036E-2</v>
      </c>
      <c r="O47" s="50"/>
      <c r="P47" s="50"/>
      <c r="Q47" s="51">
        <f t="shared" si="4"/>
        <v>5.0164383561643833</v>
      </c>
      <c r="R47" s="28"/>
      <c r="S47" s="52"/>
      <c r="T47" s="18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4"/>
      <c r="EO47" s="54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4"/>
      <c r="FA47" s="54"/>
      <c r="FB47" s="54"/>
      <c r="FC47" s="54"/>
      <c r="FD47" s="54"/>
      <c r="FE47" s="54"/>
      <c r="FF47" s="54"/>
      <c r="FG47" s="54"/>
      <c r="FH47" s="54"/>
      <c r="FI47" s="54"/>
      <c r="FJ47" s="54"/>
      <c r="FK47" s="54"/>
      <c r="FL47" s="54"/>
      <c r="FM47" s="54"/>
      <c r="FN47" s="54"/>
      <c r="FO47" s="54"/>
      <c r="FP47" s="54"/>
      <c r="FQ47" s="54"/>
      <c r="FR47" s="54"/>
      <c r="FS47" s="54"/>
      <c r="FT47" s="54"/>
      <c r="FU47" s="54"/>
      <c r="FV47" s="54"/>
      <c r="FW47" s="54"/>
      <c r="FX47" s="54"/>
      <c r="FY47" s="54"/>
      <c r="FZ47" s="54"/>
      <c r="GA47" s="54"/>
      <c r="GB47" s="54"/>
      <c r="GC47" s="54"/>
      <c r="GD47" s="54"/>
      <c r="GE47" s="54"/>
      <c r="GF47" s="54"/>
      <c r="GG47" s="54"/>
      <c r="GH47" s="54"/>
      <c r="GI47" s="54"/>
      <c r="GJ47" s="54"/>
      <c r="GK47" s="54"/>
      <c r="GL47" s="54"/>
      <c r="GM47" s="54"/>
      <c r="GN47" s="54"/>
      <c r="GO47" s="54"/>
      <c r="GP47" s="54"/>
      <c r="GQ47" s="54"/>
      <c r="GR47" s="54"/>
      <c r="GS47" s="54"/>
      <c r="GT47" s="54"/>
      <c r="GU47" s="54"/>
      <c r="GV47" s="54"/>
      <c r="GW47" s="54"/>
      <c r="GX47" s="54"/>
      <c r="GY47" s="54"/>
      <c r="GZ47" s="54"/>
      <c r="HA47" s="54"/>
      <c r="HB47" s="54"/>
      <c r="HC47" s="54"/>
      <c r="HD47" s="54"/>
      <c r="HE47" s="54"/>
      <c r="HF47" s="54"/>
      <c r="HG47" s="54"/>
      <c r="HH47" s="54"/>
      <c r="HI47" s="54"/>
      <c r="HJ47" s="54"/>
      <c r="HK47" s="54"/>
      <c r="HL47" s="54"/>
      <c r="HM47" s="54"/>
      <c r="HN47" s="54"/>
      <c r="HO47" s="54"/>
      <c r="HP47" s="54"/>
      <c r="HQ47" s="54"/>
      <c r="HR47" s="54"/>
      <c r="HS47" s="54"/>
      <c r="HT47" s="54"/>
      <c r="HU47" s="54"/>
      <c r="HV47" s="54"/>
      <c r="HW47" s="54"/>
      <c r="HX47" s="54"/>
      <c r="HY47" s="54"/>
      <c r="HZ47" s="54"/>
      <c r="IA47" s="54"/>
      <c r="IB47" s="54"/>
      <c r="IC47" s="54"/>
      <c r="ID47" s="54"/>
      <c r="IE47" s="54"/>
      <c r="IF47" s="54"/>
      <c r="IG47" s="54"/>
      <c r="IH47" s="54"/>
      <c r="II47" s="54"/>
      <c r="IJ47" s="54"/>
      <c r="IK47" s="54"/>
      <c r="IL47" s="54"/>
      <c r="IM47" s="54"/>
      <c r="IN47" s="54"/>
      <c r="IO47" s="54"/>
      <c r="IP47" s="54"/>
      <c r="IQ47" s="54"/>
      <c r="IR47" s="54"/>
      <c r="IS47" s="54"/>
      <c r="IT47" s="54"/>
      <c r="IU47" s="54"/>
      <c r="IV47" s="54"/>
    </row>
    <row r="48" spans="1:256" ht="34.5" x14ac:dyDescent="0.45">
      <c r="A48" s="55"/>
      <c r="B48" s="56"/>
      <c r="C48" s="79" t="s">
        <v>130</v>
      </c>
      <c r="D48" s="57"/>
      <c r="E48" s="24"/>
      <c r="F48" s="25"/>
      <c r="G48" s="58"/>
      <c r="H48" s="58"/>
      <c r="I48" s="58"/>
      <c r="J48" s="59"/>
      <c r="K48" s="58"/>
      <c r="L48" s="58"/>
      <c r="M48" s="80"/>
      <c r="N48" s="26"/>
      <c r="O48" s="55"/>
      <c r="P48" s="55"/>
      <c r="Q48" s="27"/>
      <c r="R48" s="28"/>
      <c r="S48" s="60"/>
      <c r="T48" s="18"/>
    </row>
    <row r="49" spans="1:256" ht="15.75" thickBot="1" x14ac:dyDescent="0.3">
      <c r="A49" s="83">
        <v>1</v>
      </c>
      <c r="B49" t="s">
        <v>92</v>
      </c>
      <c r="C49" s="84" t="s">
        <v>93</v>
      </c>
      <c r="D49" s="85">
        <v>44249</v>
      </c>
      <c r="E49" s="24">
        <v>46080</v>
      </c>
      <c r="F49" s="25">
        <v>15.8164</v>
      </c>
      <c r="G49" s="76">
        <v>10107.141</v>
      </c>
      <c r="H49" s="76">
        <v>120000</v>
      </c>
      <c r="I49" s="76">
        <v>-120000</v>
      </c>
      <c r="J49" s="76">
        <f>F49*G49</f>
        <v>159858.58491239999</v>
      </c>
      <c r="K49" s="76">
        <f>J49-H49</f>
        <v>39858.584912399994</v>
      </c>
      <c r="L49" s="76">
        <f>E49-D49</f>
        <v>1831</v>
      </c>
      <c r="M49" s="77">
        <f t="shared" si="17"/>
        <v>0.33215487426999996</v>
      </c>
      <c r="N49" s="26">
        <f t="shared" si="3"/>
        <v>5.8837497696941687E-2</v>
      </c>
      <c r="O49" s="41" t="s">
        <v>22</v>
      </c>
      <c r="P49" s="41"/>
      <c r="Q49" s="27">
        <f t="shared" si="4"/>
        <v>5.0164383561643833</v>
      </c>
      <c r="R49" s="28"/>
      <c r="S49" s="42"/>
      <c r="T49" s="18"/>
    </row>
    <row r="50" spans="1:256" ht="15.75" thickBot="1" x14ac:dyDescent="0.3">
      <c r="A50" s="43"/>
      <c r="B50" s="44"/>
      <c r="C50" s="45"/>
      <c r="D50" s="46"/>
      <c r="E50" s="24"/>
      <c r="F50" s="25"/>
      <c r="G50" s="47" t="s">
        <v>49</v>
      </c>
      <c r="H50" s="47">
        <f>SUM(H49)</f>
        <v>120000</v>
      </c>
      <c r="I50" s="47">
        <f>SUM(I49)</f>
        <v>-120000</v>
      </c>
      <c r="J50" s="47">
        <f>SUM(J49)</f>
        <v>159858.58491239999</v>
      </c>
      <c r="K50" s="47">
        <f>SUM(K49)</f>
        <v>39858.584912399994</v>
      </c>
      <c r="L50" s="47">
        <f>AVERAGE(L49)</f>
        <v>1831</v>
      </c>
      <c r="M50" s="78">
        <f t="shared" si="17"/>
        <v>0.33215487426999996</v>
      </c>
      <c r="N50" s="26">
        <f t="shared" si="3"/>
        <v>5.8837497696941687E-2</v>
      </c>
      <c r="O50" s="50"/>
      <c r="P50" s="50"/>
      <c r="Q50" s="51">
        <f t="shared" si="4"/>
        <v>5.0164383561643833</v>
      </c>
      <c r="R50" s="28"/>
      <c r="S50" s="52"/>
      <c r="T50" s="18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4"/>
      <c r="EH50" s="54"/>
      <c r="EI50" s="54"/>
      <c r="EJ50" s="54"/>
      <c r="EK50" s="54"/>
      <c r="EL50" s="54"/>
      <c r="EM50" s="54"/>
      <c r="EN50" s="54"/>
      <c r="EO50" s="54"/>
      <c r="EP50" s="54"/>
      <c r="EQ50" s="54"/>
      <c r="ER50" s="54"/>
      <c r="ES50" s="54"/>
      <c r="ET50" s="54"/>
      <c r="EU50" s="54"/>
      <c r="EV50" s="54"/>
      <c r="EW50" s="54"/>
      <c r="EX50" s="54"/>
      <c r="EY50" s="54"/>
      <c r="EZ50" s="54"/>
      <c r="FA50" s="54"/>
      <c r="FB50" s="54"/>
      <c r="FC50" s="54"/>
      <c r="FD50" s="54"/>
      <c r="FE50" s="54"/>
      <c r="FF50" s="54"/>
      <c r="FG50" s="54"/>
      <c r="FH50" s="54"/>
      <c r="FI50" s="54"/>
      <c r="FJ50" s="54"/>
      <c r="FK50" s="54"/>
      <c r="FL50" s="54"/>
      <c r="FM50" s="54"/>
      <c r="FN50" s="54"/>
      <c r="FO50" s="54"/>
      <c r="FP50" s="54"/>
      <c r="FQ50" s="54"/>
      <c r="FR50" s="54"/>
      <c r="FS50" s="54"/>
      <c r="FT50" s="54"/>
      <c r="FU50" s="54"/>
      <c r="FV50" s="54"/>
      <c r="FW50" s="54"/>
      <c r="FX50" s="54"/>
      <c r="FY50" s="54"/>
      <c r="FZ50" s="54"/>
      <c r="GA50" s="54"/>
      <c r="GB50" s="54"/>
      <c r="GC50" s="54"/>
      <c r="GD50" s="54"/>
      <c r="GE50" s="54"/>
      <c r="GF50" s="54"/>
      <c r="GG50" s="54"/>
      <c r="GH50" s="54"/>
      <c r="GI50" s="54"/>
      <c r="GJ50" s="54"/>
      <c r="GK50" s="54"/>
      <c r="GL50" s="54"/>
      <c r="GM50" s="54"/>
      <c r="GN50" s="54"/>
      <c r="GO50" s="54"/>
      <c r="GP50" s="54"/>
      <c r="GQ50" s="54"/>
      <c r="GR50" s="54"/>
      <c r="GS50" s="54"/>
      <c r="GT50" s="54"/>
      <c r="GU50" s="54"/>
      <c r="GV50" s="54"/>
      <c r="GW50" s="54"/>
      <c r="GX50" s="54"/>
      <c r="GY50" s="54"/>
      <c r="GZ50" s="54"/>
      <c r="HA50" s="54"/>
      <c r="HB50" s="54"/>
      <c r="HC50" s="54"/>
      <c r="HD50" s="54"/>
      <c r="HE50" s="54"/>
      <c r="HF50" s="54"/>
      <c r="HG50" s="54"/>
      <c r="HH50" s="54"/>
      <c r="HI50" s="54"/>
      <c r="HJ50" s="54"/>
      <c r="HK50" s="54"/>
      <c r="HL50" s="54"/>
      <c r="HM50" s="54"/>
      <c r="HN50" s="54"/>
      <c r="HO50" s="54"/>
      <c r="HP50" s="54"/>
      <c r="HQ50" s="54"/>
      <c r="HR50" s="54"/>
      <c r="HS50" s="54"/>
      <c r="HT50" s="54"/>
      <c r="HU50" s="54"/>
      <c r="HV50" s="54"/>
      <c r="HW50" s="54"/>
      <c r="HX50" s="54"/>
      <c r="HY50" s="54"/>
      <c r="HZ50" s="54"/>
      <c r="IA50" s="54"/>
      <c r="IB50" s="54"/>
      <c r="IC50" s="54"/>
      <c r="ID50" s="54"/>
      <c r="IE50" s="54"/>
      <c r="IF50" s="54"/>
      <c r="IG50" s="54"/>
      <c r="IH50" s="54"/>
      <c r="II50" s="54"/>
      <c r="IJ50" s="54"/>
      <c r="IK50" s="54"/>
      <c r="IL50" s="54"/>
      <c r="IM50" s="54"/>
      <c r="IN50" s="54"/>
      <c r="IO50" s="54"/>
      <c r="IP50" s="54"/>
      <c r="IQ50" s="54"/>
      <c r="IR50" s="54"/>
      <c r="IS50" s="54"/>
      <c r="IT50" s="54"/>
      <c r="IU50" s="54"/>
      <c r="IV50" s="54"/>
    </row>
    <row r="51" spans="1:256" ht="34.5" hidden="1" x14ac:dyDescent="0.45">
      <c r="A51" s="55"/>
      <c r="B51" s="56"/>
      <c r="C51" s="15" t="s">
        <v>134</v>
      </c>
      <c r="D51" s="57"/>
      <c r="E51" s="24"/>
      <c r="F51" s="25"/>
      <c r="G51" s="55"/>
      <c r="H51" s="58"/>
      <c r="I51" s="58"/>
      <c r="J51" s="59"/>
      <c r="K51" s="58"/>
      <c r="L51" s="58"/>
      <c r="M51" s="80"/>
      <c r="N51" s="26"/>
      <c r="O51" s="58"/>
      <c r="P51" s="55"/>
      <c r="Q51" s="27"/>
      <c r="R51" s="28"/>
      <c r="S51" s="60"/>
      <c r="T51" s="18"/>
    </row>
    <row r="52" spans="1:256" hidden="1" x14ac:dyDescent="0.25">
      <c r="A52" s="17"/>
      <c r="C52" s="23"/>
      <c r="D52" s="24"/>
      <c r="E52" s="24"/>
      <c r="F52" s="25"/>
      <c r="G52" s="18"/>
      <c r="H52" s="18"/>
      <c r="I52" s="18"/>
      <c r="J52" s="18"/>
      <c r="K52" s="18"/>
      <c r="L52" s="18"/>
      <c r="M52" s="74"/>
      <c r="N52" s="26"/>
      <c r="O52" s="69"/>
      <c r="P52" s="17"/>
      <c r="Q52" s="27"/>
      <c r="R52" s="28"/>
      <c r="S52" s="29"/>
      <c r="T52" s="18"/>
    </row>
    <row r="53" spans="1:256" hidden="1" x14ac:dyDescent="0.25">
      <c r="A53" s="17"/>
      <c r="C53" s="86"/>
      <c r="D53" s="87"/>
      <c r="E53" s="24"/>
      <c r="F53" s="25"/>
      <c r="G53" s="88"/>
      <c r="H53" s="88"/>
      <c r="I53" s="88"/>
      <c r="J53" s="18"/>
      <c r="K53" s="18"/>
      <c r="L53" s="18"/>
      <c r="M53" s="74"/>
      <c r="N53" s="26"/>
      <c r="O53" s="89"/>
      <c r="P53" s="17"/>
      <c r="Q53" s="27"/>
      <c r="R53" s="28"/>
      <c r="S53" s="29"/>
      <c r="T53" s="18"/>
    </row>
    <row r="54" spans="1:256" hidden="1" x14ac:dyDescent="0.25">
      <c r="A54" s="41"/>
      <c r="C54" s="37"/>
      <c r="D54" s="38"/>
      <c r="E54" s="24"/>
      <c r="F54" s="25"/>
      <c r="G54" s="39"/>
      <c r="H54" s="39"/>
      <c r="I54" s="39"/>
      <c r="J54" s="39"/>
      <c r="K54" s="39"/>
      <c r="L54" s="39"/>
      <c r="M54" s="77"/>
      <c r="N54" s="26"/>
      <c r="O54" s="90"/>
      <c r="P54" s="90"/>
      <c r="Q54" s="27"/>
      <c r="R54" s="28"/>
      <c r="S54" s="42"/>
      <c r="T54" s="18"/>
    </row>
    <row r="55" spans="1:256" ht="15.75" hidden="1" thickBot="1" x14ac:dyDescent="0.3">
      <c r="A55" s="43"/>
      <c r="B55" s="44"/>
      <c r="C55" s="45"/>
      <c r="D55" s="46"/>
      <c r="E55" s="24"/>
      <c r="F55" s="25"/>
      <c r="G55" s="47"/>
      <c r="H55" s="47"/>
      <c r="I55" s="47"/>
      <c r="J55" s="47"/>
      <c r="K55" s="47"/>
      <c r="L55" s="47"/>
      <c r="M55" s="78"/>
      <c r="N55" s="26"/>
      <c r="O55" s="50"/>
      <c r="P55" s="50"/>
      <c r="Q55" s="51"/>
      <c r="R55" s="28"/>
      <c r="S55" s="52"/>
      <c r="T55" s="18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4"/>
      <c r="EI55" s="54"/>
      <c r="EJ55" s="54"/>
      <c r="EK55" s="54"/>
      <c r="EL55" s="54"/>
      <c r="EM55" s="54"/>
      <c r="EN55" s="54"/>
      <c r="EO55" s="54"/>
      <c r="EP55" s="54"/>
      <c r="EQ55" s="54"/>
      <c r="ER55" s="54"/>
      <c r="ES55" s="54"/>
      <c r="ET55" s="54"/>
      <c r="EU55" s="54"/>
      <c r="EV55" s="54"/>
      <c r="EW55" s="54"/>
      <c r="EX55" s="54"/>
      <c r="EY55" s="54"/>
      <c r="EZ55" s="54"/>
      <c r="FA55" s="54"/>
      <c r="FB55" s="54"/>
      <c r="FC55" s="54"/>
      <c r="FD55" s="54"/>
      <c r="FE55" s="54"/>
      <c r="FF55" s="54"/>
      <c r="FG55" s="54"/>
      <c r="FH55" s="54"/>
      <c r="FI55" s="54"/>
      <c r="FJ55" s="54"/>
      <c r="FK55" s="54"/>
      <c r="FL55" s="54"/>
      <c r="FM55" s="54"/>
      <c r="FN55" s="54"/>
      <c r="FO55" s="54"/>
      <c r="FP55" s="54"/>
      <c r="FQ55" s="54"/>
      <c r="FR55" s="54"/>
      <c r="FS55" s="54"/>
      <c r="FT55" s="54"/>
      <c r="FU55" s="54"/>
      <c r="FV55" s="54"/>
      <c r="FW55" s="54"/>
      <c r="FX55" s="54"/>
      <c r="FY55" s="54"/>
      <c r="FZ55" s="54"/>
      <c r="GA55" s="54"/>
      <c r="GB55" s="54"/>
      <c r="GC55" s="54"/>
      <c r="GD55" s="54"/>
      <c r="GE55" s="54"/>
      <c r="GF55" s="54"/>
      <c r="GG55" s="54"/>
      <c r="GH55" s="54"/>
      <c r="GI55" s="54"/>
      <c r="GJ55" s="54"/>
      <c r="GK55" s="54"/>
      <c r="GL55" s="54"/>
      <c r="GM55" s="54"/>
      <c r="GN55" s="54"/>
      <c r="GO55" s="54"/>
      <c r="GP55" s="54"/>
      <c r="GQ55" s="54"/>
      <c r="GR55" s="54"/>
      <c r="GS55" s="54"/>
      <c r="GT55" s="54"/>
      <c r="GU55" s="54"/>
      <c r="GV55" s="54"/>
      <c r="GW55" s="54"/>
      <c r="GX55" s="54"/>
      <c r="GY55" s="54"/>
      <c r="GZ55" s="54"/>
      <c r="HA55" s="54"/>
      <c r="HB55" s="54"/>
      <c r="HC55" s="54"/>
      <c r="HD55" s="54"/>
      <c r="HE55" s="54"/>
      <c r="HF55" s="54"/>
      <c r="HG55" s="54"/>
      <c r="HH55" s="54"/>
      <c r="HI55" s="54"/>
      <c r="HJ55" s="54"/>
      <c r="HK55" s="54"/>
      <c r="HL55" s="54"/>
      <c r="HM55" s="54"/>
      <c r="HN55" s="54"/>
      <c r="HO55" s="54"/>
      <c r="HP55" s="54"/>
      <c r="HQ55" s="54"/>
      <c r="HR55" s="54"/>
      <c r="HS55" s="54"/>
      <c r="HT55" s="54"/>
      <c r="HU55" s="54"/>
      <c r="HV55" s="54"/>
      <c r="HW55" s="54"/>
      <c r="HX55" s="54"/>
      <c r="HY55" s="54"/>
      <c r="HZ55" s="54"/>
      <c r="IA55" s="54"/>
      <c r="IB55" s="54"/>
      <c r="IC55" s="54"/>
      <c r="ID55" s="54"/>
      <c r="IE55" s="54"/>
      <c r="IF55" s="54"/>
      <c r="IG55" s="54"/>
      <c r="IH55" s="54"/>
      <c r="II55" s="54"/>
      <c r="IJ55" s="54"/>
      <c r="IK55" s="54"/>
      <c r="IL55" s="54"/>
      <c r="IM55" s="54"/>
      <c r="IN55" s="54"/>
      <c r="IO55" s="54"/>
      <c r="IP55" s="54"/>
      <c r="IQ55" s="54"/>
      <c r="IR55" s="54"/>
      <c r="IS55" s="54"/>
      <c r="IT55" s="54"/>
      <c r="IU55" s="54"/>
      <c r="IV55" s="54"/>
    </row>
    <row r="56" spans="1:256" ht="34.5" hidden="1" x14ac:dyDescent="0.45">
      <c r="A56" s="55"/>
      <c r="B56" s="56"/>
      <c r="C56" s="15" t="s">
        <v>124</v>
      </c>
      <c r="D56" s="57"/>
      <c r="E56" s="24"/>
      <c r="F56" s="25"/>
      <c r="G56" s="55"/>
      <c r="H56" s="58"/>
      <c r="I56" s="58"/>
      <c r="J56" s="59"/>
      <c r="K56" s="58"/>
      <c r="L56" s="58"/>
      <c r="M56" s="80"/>
      <c r="N56" s="26"/>
      <c r="O56" s="58"/>
      <c r="P56" s="55"/>
      <c r="Q56" s="27"/>
      <c r="R56" s="28"/>
      <c r="S56" s="60"/>
      <c r="T56" s="18"/>
    </row>
    <row r="57" spans="1:256" x14ac:dyDescent="0.25">
      <c r="A57" s="17">
        <v>1</v>
      </c>
      <c r="B57" t="s">
        <v>75</v>
      </c>
      <c r="C57" s="23" t="s">
        <v>76</v>
      </c>
      <c r="D57" s="24">
        <v>42507</v>
      </c>
      <c r="E57" s="24">
        <v>46080</v>
      </c>
      <c r="F57" s="25">
        <v>681.17079999999999</v>
      </c>
      <c r="G57" s="18">
        <v>1918.443</v>
      </c>
      <c r="H57" s="18">
        <v>710000</v>
      </c>
      <c r="I57" s="18">
        <v>-710000</v>
      </c>
      <c r="J57" s="18">
        <f t="shared" ref="J57:J63" si="18">F57*G57</f>
        <v>1306787.3530643999</v>
      </c>
      <c r="K57" s="18">
        <f t="shared" ref="K57:K63" si="19">J57-H57</f>
        <v>596787.35306439991</v>
      </c>
      <c r="L57" s="18">
        <f t="shared" ref="L57:L63" si="20">E57-D57</f>
        <v>3573</v>
      </c>
      <c r="M57" s="74">
        <f t="shared" si="17"/>
        <v>0.84054556769633793</v>
      </c>
      <c r="N57" s="26">
        <f t="shared" si="3"/>
        <v>6.4303844670004384E-2</v>
      </c>
      <c r="O57" s="69" t="s">
        <v>68</v>
      </c>
      <c r="P57" s="30" t="s">
        <v>37</v>
      </c>
      <c r="Q57" s="27">
        <f t="shared" si="4"/>
        <v>9.7890410958904113</v>
      </c>
      <c r="R57" s="28"/>
      <c r="S57" s="29"/>
      <c r="T57" s="18"/>
    </row>
    <row r="58" spans="1:256" x14ac:dyDescent="0.25">
      <c r="A58" s="17">
        <v>2</v>
      </c>
      <c r="B58" s="9" t="s">
        <v>94</v>
      </c>
      <c r="C58" s="23" t="s">
        <v>95</v>
      </c>
      <c r="D58" s="24">
        <v>43176</v>
      </c>
      <c r="E58" s="24">
        <v>46080</v>
      </c>
      <c r="F58" s="25">
        <v>1849.36</v>
      </c>
      <c r="G58" s="18">
        <v>518.87400000000002</v>
      </c>
      <c r="H58" s="18">
        <v>360000</v>
      </c>
      <c r="I58" s="18">
        <v>-360000</v>
      </c>
      <c r="J58" s="18">
        <f t="shared" si="18"/>
        <v>959584.82064000005</v>
      </c>
      <c r="K58" s="18">
        <f t="shared" si="19"/>
        <v>599584.82064000005</v>
      </c>
      <c r="L58" s="18">
        <f t="shared" si="20"/>
        <v>2904</v>
      </c>
      <c r="M58" s="74">
        <f t="shared" si="17"/>
        <v>1.6655133906666668</v>
      </c>
      <c r="N58" s="26">
        <f t="shared" si="3"/>
        <v>0.13113866040460431</v>
      </c>
      <c r="O58" s="63" t="s">
        <v>30</v>
      </c>
      <c r="P58" s="63" t="s">
        <v>37</v>
      </c>
      <c r="Q58" s="27">
        <f t="shared" si="4"/>
        <v>7.956164383561644</v>
      </c>
      <c r="R58" s="28"/>
      <c r="S58" s="29"/>
      <c r="T58" s="18"/>
    </row>
    <row r="59" spans="1:256" x14ac:dyDescent="0.25">
      <c r="A59" s="17">
        <v>3</v>
      </c>
      <c r="B59" s="75" t="s">
        <v>96</v>
      </c>
      <c r="C59" s="23" t="s">
        <v>97</v>
      </c>
      <c r="D59" s="24">
        <v>43991</v>
      </c>
      <c r="E59" s="24">
        <v>46080</v>
      </c>
      <c r="F59" s="25">
        <v>27.5932</v>
      </c>
      <c r="G59" s="18">
        <v>123014.545</v>
      </c>
      <c r="H59" s="18">
        <v>2500000</v>
      </c>
      <c r="I59" s="18">
        <v>-2500000</v>
      </c>
      <c r="J59" s="18">
        <f t="shared" si="18"/>
        <v>3394364.9430939998</v>
      </c>
      <c r="K59" s="18">
        <f t="shared" si="19"/>
        <v>894364.94309399975</v>
      </c>
      <c r="L59" s="18">
        <f t="shared" si="20"/>
        <v>2089</v>
      </c>
      <c r="M59" s="74">
        <f t="shared" si="17"/>
        <v>0.35774597723759988</v>
      </c>
      <c r="N59" s="26">
        <f t="shared" si="3"/>
        <v>5.4888804872435415E-2</v>
      </c>
      <c r="O59" s="63" t="s">
        <v>30</v>
      </c>
      <c r="P59" s="63"/>
      <c r="Q59" s="27">
        <f t="shared" si="4"/>
        <v>5.7232876712328764</v>
      </c>
      <c r="R59" s="28"/>
      <c r="S59" s="29"/>
      <c r="T59" s="18"/>
    </row>
    <row r="60" spans="1:256" x14ac:dyDescent="0.25">
      <c r="A60" s="35">
        <v>4</v>
      </c>
      <c r="B60" s="75" t="s">
        <v>98</v>
      </c>
      <c r="C60" s="32" t="s">
        <v>99</v>
      </c>
      <c r="D60" s="33">
        <v>44281</v>
      </c>
      <c r="E60" s="24">
        <v>46080</v>
      </c>
      <c r="F60" s="25">
        <v>571.12469999999996</v>
      </c>
      <c r="G60" s="34">
        <v>1359.81</v>
      </c>
      <c r="H60" s="34">
        <v>574140</v>
      </c>
      <c r="I60" s="34">
        <v>-574140</v>
      </c>
      <c r="J60" s="18">
        <f t="shared" si="18"/>
        <v>776621.07830699987</v>
      </c>
      <c r="K60" s="18">
        <f t="shared" si="19"/>
        <v>202481.07830699987</v>
      </c>
      <c r="L60" s="18">
        <f t="shared" si="20"/>
        <v>1799</v>
      </c>
      <c r="M60" s="74">
        <f t="shared" si="17"/>
        <v>0.35266847512279215</v>
      </c>
      <c r="N60" s="26">
        <f t="shared" si="3"/>
        <v>6.3206153939475929E-2</v>
      </c>
      <c r="O60" s="91" t="s">
        <v>22</v>
      </c>
      <c r="P60" s="91"/>
      <c r="Q60" s="27">
        <f t="shared" si="4"/>
        <v>4.9287671232876713</v>
      </c>
      <c r="R60" s="28"/>
      <c r="S60" s="29"/>
      <c r="T60" s="18"/>
    </row>
    <row r="61" spans="1:256" x14ac:dyDescent="0.25">
      <c r="A61" s="9">
        <v>5</v>
      </c>
      <c r="B61" s="75" t="s">
        <v>100</v>
      </c>
      <c r="C61" s="92" t="s">
        <v>101</v>
      </c>
      <c r="D61" s="93">
        <v>45671</v>
      </c>
      <c r="E61" s="24">
        <v>46080</v>
      </c>
      <c r="F61" s="25">
        <v>145.19319999999999</v>
      </c>
      <c r="G61" s="94">
        <v>7581.95</v>
      </c>
      <c r="H61" s="94">
        <v>1000000</v>
      </c>
      <c r="I61" s="94">
        <v>-1000000</v>
      </c>
      <c r="J61" s="18">
        <f t="shared" si="18"/>
        <v>1100847.58274</v>
      </c>
      <c r="K61" s="18">
        <f t="shared" si="19"/>
        <v>100847.58273999998</v>
      </c>
      <c r="L61" s="18">
        <f t="shared" si="20"/>
        <v>409</v>
      </c>
      <c r="M61" s="74">
        <f t="shared" si="17"/>
        <v>0.10084758273999998</v>
      </c>
      <c r="N61" s="26">
        <f t="shared" si="3"/>
        <v>8.952751929310887E-2</v>
      </c>
      <c r="O61" s="95" t="s">
        <v>30</v>
      </c>
      <c r="P61" s="96"/>
      <c r="Q61" s="27">
        <f t="shared" si="4"/>
        <v>1.1205479452054794</v>
      </c>
      <c r="R61" s="28"/>
      <c r="S61" s="29"/>
      <c r="T61" s="18"/>
    </row>
    <row r="62" spans="1:256" ht="15.75" thickBot="1" x14ac:dyDescent="0.3">
      <c r="A62" s="97">
        <v>6</v>
      </c>
      <c r="B62" s="75" t="s">
        <v>100</v>
      </c>
      <c r="C62" s="92" t="s">
        <v>101</v>
      </c>
      <c r="D62" s="93">
        <v>45755</v>
      </c>
      <c r="E62" s="24">
        <v>46080</v>
      </c>
      <c r="F62" s="25">
        <v>145.19319999999999</v>
      </c>
      <c r="G62" s="94">
        <v>6377</v>
      </c>
      <c r="H62" s="94">
        <v>800000</v>
      </c>
      <c r="I62" s="94">
        <v>-800000</v>
      </c>
      <c r="J62" s="18">
        <f t="shared" si="18"/>
        <v>925897.03639999998</v>
      </c>
      <c r="K62" s="18">
        <f t="shared" si="19"/>
        <v>125897.03639999998</v>
      </c>
      <c r="L62" s="18">
        <f t="shared" si="20"/>
        <v>325</v>
      </c>
      <c r="M62" s="74">
        <f t="shared" si="17"/>
        <v>0.15737129549999998</v>
      </c>
      <c r="N62" s="26">
        <f t="shared" si="3"/>
        <v>0.17837828965634106</v>
      </c>
      <c r="O62" s="95" t="s">
        <v>30</v>
      </c>
      <c r="P62" s="96"/>
      <c r="Q62" s="27">
        <f t="shared" si="4"/>
        <v>0.8904109589041096</v>
      </c>
      <c r="R62" s="28"/>
      <c r="S62" s="29"/>
      <c r="T62" s="18"/>
    </row>
    <row r="63" spans="1:256" ht="15.75" thickBot="1" x14ac:dyDescent="0.3">
      <c r="A63" s="41">
        <v>7</v>
      </c>
      <c r="B63" s="98" t="s">
        <v>102</v>
      </c>
      <c r="C63" s="37" t="s">
        <v>103</v>
      </c>
      <c r="D63" s="38">
        <v>43991</v>
      </c>
      <c r="E63" s="24">
        <v>46080</v>
      </c>
      <c r="F63" s="25">
        <v>378.84539999999998</v>
      </c>
      <c r="G63" s="39">
        <v>9322.1350000000002</v>
      </c>
      <c r="H63" s="39">
        <v>2500000</v>
      </c>
      <c r="I63" s="39">
        <v>-2500000</v>
      </c>
      <c r="J63" s="39">
        <f t="shared" si="18"/>
        <v>3531647.9629290001</v>
      </c>
      <c r="K63" s="39">
        <f t="shared" si="19"/>
        <v>1031647.9629290001</v>
      </c>
      <c r="L63" s="39">
        <f t="shared" si="20"/>
        <v>2089</v>
      </c>
      <c r="M63" s="77">
        <f t="shared" si="17"/>
        <v>0.41265918517160005</v>
      </c>
      <c r="N63" s="26">
        <f t="shared" si="3"/>
        <v>6.222188898844494E-2</v>
      </c>
      <c r="O63" s="90" t="s">
        <v>22</v>
      </c>
      <c r="P63" s="90"/>
      <c r="Q63" s="27">
        <f t="shared" si="4"/>
        <v>5.7232876712328764</v>
      </c>
      <c r="R63" s="28"/>
      <c r="S63" s="42"/>
      <c r="T63" s="18"/>
    </row>
    <row r="64" spans="1:256" ht="15.75" thickBot="1" x14ac:dyDescent="0.3">
      <c r="A64" s="43"/>
      <c r="B64" s="44"/>
      <c r="C64" s="45"/>
      <c r="D64" s="46"/>
      <c r="E64" s="24"/>
      <c r="F64" s="25"/>
      <c r="G64" s="47" t="s">
        <v>49</v>
      </c>
      <c r="H64" s="47">
        <f>SUM(H57:H63)</f>
        <v>8444140</v>
      </c>
      <c r="I64" s="47">
        <f>SUM(I57:I63)</f>
        <v>-8444140</v>
      </c>
      <c r="J64" s="47">
        <f>SUM(J57:J63)</f>
        <v>11995750.777174398</v>
      </c>
      <c r="K64" s="47">
        <f>SUM(K57:K63)</f>
        <v>3551610.7771743997</v>
      </c>
      <c r="L64" s="47">
        <f>AVERAGE(L57:L63)</f>
        <v>1884</v>
      </c>
      <c r="M64" s="78">
        <f t="shared" si="17"/>
        <v>0.42060065053094803</v>
      </c>
      <c r="N64" s="26">
        <f t="shared" si="3"/>
        <v>7.0383556011061055E-2</v>
      </c>
      <c r="O64" s="50"/>
      <c r="P64" s="50"/>
      <c r="Q64" s="51">
        <f t="shared" si="4"/>
        <v>5.161643835616438</v>
      </c>
      <c r="R64" s="28"/>
      <c r="S64" s="52"/>
      <c r="T64" s="18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54"/>
      <c r="EM64" s="54"/>
      <c r="EN64" s="54"/>
      <c r="EO64" s="54"/>
      <c r="EP64" s="54"/>
      <c r="EQ64" s="54"/>
      <c r="ER64" s="54"/>
      <c r="ES64" s="54"/>
      <c r="ET64" s="54"/>
      <c r="EU64" s="54"/>
      <c r="EV64" s="54"/>
      <c r="EW64" s="54"/>
      <c r="EX64" s="54"/>
      <c r="EY64" s="54"/>
      <c r="EZ64" s="54"/>
      <c r="FA64" s="54"/>
      <c r="FB64" s="54"/>
      <c r="FC64" s="54"/>
      <c r="FD64" s="54"/>
      <c r="FE64" s="54"/>
      <c r="FF64" s="54"/>
      <c r="FG64" s="54"/>
      <c r="FH64" s="54"/>
      <c r="FI64" s="54"/>
      <c r="FJ64" s="54"/>
      <c r="FK64" s="54"/>
      <c r="FL64" s="54"/>
      <c r="FM64" s="54"/>
      <c r="FN64" s="54"/>
      <c r="FO64" s="54"/>
      <c r="FP64" s="54"/>
      <c r="FQ64" s="54"/>
      <c r="FR64" s="54"/>
      <c r="FS64" s="54"/>
      <c r="FT64" s="54"/>
      <c r="FU64" s="54"/>
      <c r="FV64" s="54"/>
      <c r="FW64" s="54"/>
      <c r="FX64" s="54"/>
      <c r="FY64" s="54"/>
      <c r="FZ64" s="54"/>
      <c r="GA64" s="54"/>
      <c r="GB64" s="54"/>
      <c r="GC64" s="54"/>
      <c r="GD64" s="54"/>
      <c r="GE64" s="54"/>
      <c r="GF64" s="54"/>
      <c r="GG64" s="54"/>
      <c r="GH64" s="54"/>
      <c r="GI64" s="54"/>
      <c r="GJ64" s="54"/>
      <c r="GK64" s="54"/>
      <c r="GL64" s="54"/>
      <c r="GM64" s="54"/>
      <c r="GN64" s="54"/>
      <c r="GO64" s="54"/>
      <c r="GP64" s="54"/>
      <c r="GQ64" s="54"/>
      <c r="GR64" s="54"/>
      <c r="GS64" s="54"/>
      <c r="GT64" s="54"/>
      <c r="GU64" s="54"/>
      <c r="GV64" s="54"/>
      <c r="GW64" s="54"/>
      <c r="GX64" s="54"/>
      <c r="GY64" s="54"/>
      <c r="GZ64" s="54"/>
      <c r="HA64" s="54"/>
      <c r="HB64" s="54"/>
      <c r="HC64" s="54"/>
      <c r="HD64" s="54"/>
      <c r="HE64" s="54"/>
      <c r="HF64" s="54"/>
      <c r="HG64" s="54"/>
      <c r="HH64" s="54"/>
      <c r="HI64" s="54"/>
      <c r="HJ64" s="54"/>
      <c r="HK64" s="54"/>
      <c r="HL64" s="54"/>
      <c r="HM64" s="54"/>
      <c r="HN64" s="54"/>
      <c r="HO64" s="54"/>
      <c r="HP64" s="54"/>
      <c r="HQ64" s="54"/>
      <c r="HR64" s="54"/>
      <c r="HS64" s="54"/>
      <c r="HT64" s="54"/>
      <c r="HU64" s="54"/>
      <c r="HV64" s="54"/>
      <c r="HW64" s="54"/>
      <c r="HX64" s="54"/>
      <c r="HY64" s="54"/>
      <c r="HZ64" s="54"/>
      <c r="IA64" s="54"/>
      <c r="IB64" s="54"/>
      <c r="IC64" s="54"/>
      <c r="ID64" s="54"/>
      <c r="IE64" s="54"/>
      <c r="IF64" s="54"/>
      <c r="IG64" s="54"/>
      <c r="IH64" s="54"/>
      <c r="II64" s="54"/>
      <c r="IJ64" s="54"/>
      <c r="IK64" s="54"/>
      <c r="IL64" s="54"/>
      <c r="IM64" s="54"/>
      <c r="IN64" s="54"/>
      <c r="IO64" s="54"/>
      <c r="IP64" s="54"/>
      <c r="IQ64" s="54"/>
      <c r="IR64" s="54"/>
      <c r="IS64" s="54"/>
      <c r="IT64" s="54"/>
      <c r="IU64" s="54"/>
      <c r="IV64" s="54"/>
    </row>
    <row r="65" spans="1:256" ht="34.5" x14ac:dyDescent="0.45">
      <c r="A65" s="55"/>
      <c r="B65" s="56"/>
      <c r="C65" s="15" t="s">
        <v>131</v>
      </c>
      <c r="D65" s="57"/>
      <c r="E65" s="24"/>
      <c r="F65" s="25"/>
      <c r="G65" s="55"/>
      <c r="H65" s="58"/>
      <c r="I65" s="58"/>
      <c r="J65" s="59"/>
      <c r="K65" s="58"/>
      <c r="L65" s="58"/>
      <c r="M65" s="80"/>
      <c r="N65" s="26"/>
      <c r="O65" s="58"/>
      <c r="P65" s="55"/>
      <c r="Q65" s="27"/>
      <c r="R65" s="28"/>
      <c r="S65" s="60"/>
      <c r="T65" s="18"/>
    </row>
    <row r="66" spans="1:256" x14ac:dyDescent="0.25">
      <c r="A66" s="17">
        <v>1</v>
      </c>
      <c r="B66" t="s">
        <v>75</v>
      </c>
      <c r="C66" s="23" t="s">
        <v>76</v>
      </c>
      <c r="D66" s="24">
        <v>42707</v>
      </c>
      <c r="E66" s="24">
        <v>46080</v>
      </c>
      <c r="F66" s="25">
        <v>681.17079999999999</v>
      </c>
      <c r="G66" s="18">
        <v>2210.23</v>
      </c>
      <c r="H66" s="18">
        <v>848650</v>
      </c>
      <c r="I66" s="18">
        <v>-848650</v>
      </c>
      <c r="J66" s="18">
        <f>F66*G66</f>
        <v>1505544.1372839999</v>
      </c>
      <c r="K66" s="18">
        <f>J66-H66</f>
        <v>656894.13728399994</v>
      </c>
      <c r="L66" s="18">
        <f>E66-D66</f>
        <v>3373</v>
      </c>
      <c r="M66" s="74">
        <f t="shared" si="17"/>
        <v>0.77404599927414119</v>
      </c>
      <c r="N66" s="26">
        <f t="shared" si="3"/>
        <v>6.3998597294543158E-2</v>
      </c>
      <c r="O66" s="69" t="s">
        <v>68</v>
      </c>
      <c r="P66" s="30" t="s">
        <v>37</v>
      </c>
      <c r="Q66" s="99">
        <f t="shared" si="4"/>
        <v>9.2410958904109588</v>
      </c>
      <c r="R66" s="28"/>
      <c r="S66" s="29"/>
      <c r="T66" s="18"/>
    </row>
    <row r="67" spans="1:256" x14ac:dyDescent="0.25">
      <c r="A67" s="17">
        <v>2</v>
      </c>
      <c r="B67" s="75" t="s">
        <v>104</v>
      </c>
      <c r="C67" s="23" t="s">
        <v>105</v>
      </c>
      <c r="D67" s="24">
        <v>43176</v>
      </c>
      <c r="E67" s="24">
        <v>46080</v>
      </c>
      <c r="F67" s="25">
        <v>914.77</v>
      </c>
      <c r="G67" s="18">
        <v>879.60199999999998</v>
      </c>
      <c r="H67" s="18">
        <v>360000</v>
      </c>
      <c r="I67" s="18">
        <v>-360000</v>
      </c>
      <c r="J67" s="18">
        <f t="shared" ref="J67:J77" si="21">F67*G67</f>
        <v>804633.52153999999</v>
      </c>
      <c r="K67" s="18">
        <f t="shared" ref="K67:K77" si="22">J67-H67</f>
        <v>444633.52153999999</v>
      </c>
      <c r="L67" s="18">
        <f t="shared" ref="L67:L77" si="23">E67-D67</f>
        <v>2904</v>
      </c>
      <c r="M67" s="74">
        <f t="shared" si="17"/>
        <v>1.2350931153888889</v>
      </c>
      <c r="N67" s="26">
        <f t="shared" si="3"/>
        <v>0.10637540905390108</v>
      </c>
      <c r="O67" s="63" t="s">
        <v>30</v>
      </c>
      <c r="P67" s="63" t="s">
        <v>37</v>
      </c>
      <c r="Q67" s="27">
        <f t="shared" si="4"/>
        <v>7.956164383561644</v>
      </c>
      <c r="R67" s="28"/>
      <c r="S67" s="29"/>
      <c r="T67" s="18"/>
    </row>
    <row r="68" spans="1:256" x14ac:dyDescent="0.25">
      <c r="A68" s="9">
        <v>3</v>
      </c>
      <c r="B68" t="s">
        <v>66</v>
      </c>
      <c r="C68" s="32" t="s">
        <v>67</v>
      </c>
      <c r="D68" s="33">
        <v>44281</v>
      </c>
      <c r="E68" s="24">
        <v>46080</v>
      </c>
      <c r="F68" s="25">
        <v>567.29520000000002</v>
      </c>
      <c r="G68" s="34">
        <v>1397.63</v>
      </c>
      <c r="H68" s="34">
        <v>581524</v>
      </c>
      <c r="I68" s="34">
        <v>-581524</v>
      </c>
      <c r="J68" s="18">
        <f t="shared" si="21"/>
        <v>792868.79037600011</v>
      </c>
      <c r="K68" s="18">
        <f t="shared" si="22"/>
        <v>211344.79037600011</v>
      </c>
      <c r="L68" s="18">
        <f t="shared" si="23"/>
        <v>1799</v>
      </c>
      <c r="M68" s="74">
        <f t="shared" si="17"/>
        <v>0.36343261907677088</v>
      </c>
      <c r="N68" s="26">
        <f t="shared" si="3"/>
        <v>6.4917328329159529E-2</v>
      </c>
      <c r="O68" s="100">
        <v>43961</v>
      </c>
      <c r="P68" s="101" t="s">
        <v>106</v>
      </c>
      <c r="Q68" s="27">
        <f t="shared" si="4"/>
        <v>4.9287671232876713</v>
      </c>
      <c r="R68" s="28"/>
      <c r="S68" s="29"/>
      <c r="T68" s="18"/>
    </row>
    <row r="69" spans="1:256" x14ac:dyDescent="0.25">
      <c r="A69" s="9">
        <v>4</v>
      </c>
      <c r="B69" t="s">
        <v>107</v>
      </c>
      <c r="C69" s="102" t="s">
        <v>108</v>
      </c>
      <c r="D69" s="87">
        <v>45671</v>
      </c>
      <c r="E69" s="24">
        <v>46080</v>
      </c>
      <c r="F69" s="25">
        <v>1034.42</v>
      </c>
      <c r="G69" s="88">
        <v>1097.664</v>
      </c>
      <c r="H69" s="88">
        <v>1000000</v>
      </c>
      <c r="I69" s="88">
        <v>-1000000</v>
      </c>
      <c r="J69" s="18">
        <f t="shared" si="21"/>
        <v>1135445.59488</v>
      </c>
      <c r="K69" s="18">
        <f t="shared" si="22"/>
        <v>135445.59487999999</v>
      </c>
      <c r="L69" s="18">
        <f t="shared" si="23"/>
        <v>409</v>
      </c>
      <c r="M69" s="74">
        <f t="shared" si="17"/>
        <v>0.13544559487999999</v>
      </c>
      <c r="N69" s="26">
        <f t="shared" ref="N69:N89" si="24">(J69/H69)^(365/L69) - 1</f>
        <v>0.12003492650010261</v>
      </c>
      <c r="O69" s="103" t="s">
        <v>30</v>
      </c>
      <c r="P69" s="101"/>
      <c r="Q69" s="27">
        <f t="shared" ref="Q69:Q89" si="25">L69/365</f>
        <v>1.1205479452054794</v>
      </c>
      <c r="R69" s="28"/>
      <c r="S69" s="29"/>
      <c r="T69" s="18"/>
    </row>
    <row r="70" spans="1:256" x14ac:dyDescent="0.25">
      <c r="A70" s="97">
        <v>5</v>
      </c>
      <c r="B70" t="s">
        <v>107</v>
      </c>
      <c r="C70" s="102" t="s">
        <v>108</v>
      </c>
      <c r="D70" s="87">
        <v>45755</v>
      </c>
      <c r="E70" s="24">
        <v>46080</v>
      </c>
      <c r="F70" s="25">
        <v>1034.42</v>
      </c>
      <c r="G70" s="88">
        <v>892.58299999999997</v>
      </c>
      <c r="H70" s="88">
        <v>800000</v>
      </c>
      <c r="I70" s="88">
        <v>-800000</v>
      </c>
      <c r="J70" s="18">
        <f t="shared" si="21"/>
        <v>923305.70686000003</v>
      </c>
      <c r="K70" s="18">
        <f t="shared" si="22"/>
        <v>123305.70686000003</v>
      </c>
      <c r="L70" s="18">
        <f t="shared" si="23"/>
        <v>325</v>
      </c>
      <c r="M70" s="74">
        <f t="shared" si="17"/>
        <v>0.15413213357500005</v>
      </c>
      <c r="N70" s="26">
        <f t="shared" si="24"/>
        <v>0.17467507128808357</v>
      </c>
      <c r="O70" s="103" t="s">
        <v>30</v>
      </c>
      <c r="P70" s="101"/>
      <c r="Q70" s="27">
        <f t="shared" si="25"/>
        <v>0.8904109589041096</v>
      </c>
      <c r="R70" s="28"/>
      <c r="S70" s="29"/>
      <c r="T70" s="18"/>
    </row>
    <row r="71" spans="1:256" x14ac:dyDescent="0.25">
      <c r="A71" s="9">
        <v>6</v>
      </c>
      <c r="B71" t="s">
        <v>79</v>
      </c>
      <c r="C71" s="23" t="s">
        <v>80</v>
      </c>
      <c r="D71" s="24">
        <v>43887</v>
      </c>
      <c r="E71" s="24">
        <v>46080</v>
      </c>
      <c r="F71" s="25">
        <v>484.35</v>
      </c>
      <c r="G71" s="18">
        <v>1103.347</v>
      </c>
      <c r="H71" s="18">
        <v>150000</v>
      </c>
      <c r="I71" s="18">
        <v>-150000</v>
      </c>
      <c r="J71" s="18">
        <f t="shared" si="21"/>
        <v>534406.11945</v>
      </c>
      <c r="K71" s="18">
        <f t="shared" si="22"/>
        <v>384406.11945</v>
      </c>
      <c r="L71" s="18">
        <f t="shared" si="23"/>
        <v>2193</v>
      </c>
      <c r="M71" s="74">
        <f t="shared" si="17"/>
        <v>2.5627074630000002</v>
      </c>
      <c r="N71" s="26">
        <f t="shared" si="24"/>
        <v>0.23548522390509641</v>
      </c>
      <c r="O71" s="17" t="s">
        <v>30</v>
      </c>
      <c r="P71" s="104"/>
      <c r="Q71" s="27">
        <f t="shared" si="25"/>
        <v>6.0082191780821921</v>
      </c>
      <c r="R71" s="28"/>
      <c r="S71" s="29"/>
      <c r="T71" s="18"/>
    </row>
    <row r="72" spans="1:256" x14ac:dyDescent="0.25">
      <c r="A72" s="9">
        <v>7</v>
      </c>
      <c r="B72" t="s">
        <v>79</v>
      </c>
      <c r="C72" s="23" t="s">
        <v>80</v>
      </c>
      <c r="D72" s="24">
        <v>43888</v>
      </c>
      <c r="E72" s="24">
        <v>46080</v>
      </c>
      <c r="F72" s="25">
        <v>484.35</v>
      </c>
      <c r="G72" s="18">
        <v>1108.893</v>
      </c>
      <c r="H72" s="18">
        <v>150000</v>
      </c>
      <c r="I72" s="18">
        <v>-150000</v>
      </c>
      <c r="J72" s="18">
        <f t="shared" si="21"/>
        <v>537092.32455000002</v>
      </c>
      <c r="K72" s="18">
        <f t="shared" si="22"/>
        <v>387092.32455000002</v>
      </c>
      <c r="L72" s="18">
        <f t="shared" si="23"/>
        <v>2192</v>
      </c>
      <c r="M72" s="74">
        <f t="shared" si="17"/>
        <v>2.5806154970000001</v>
      </c>
      <c r="N72" s="26">
        <f t="shared" si="24"/>
        <v>0.23663644608080281</v>
      </c>
      <c r="O72" s="17" t="s">
        <v>30</v>
      </c>
      <c r="P72" s="104"/>
      <c r="Q72" s="27">
        <f t="shared" si="25"/>
        <v>6.0054794520547947</v>
      </c>
      <c r="R72" s="28"/>
      <c r="S72" s="29"/>
      <c r="T72" s="18"/>
    </row>
    <row r="73" spans="1:256" x14ac:dyDescent="0.25">
      <c r="A73" s="9">
        <v>8</v>
      </c>
      <c r="B73" t="s">
        <v>79</v>
      </c>
      <c r="C73" s="23" t="s">
        <v>80</v>
      </c>
      <c r="D73" s="24">
        <v>43860</v>
      </c>
      <c r="E73" s="24">
        <v>46080</v>
      </c>
      <c r="F73" s="25">
        <v>484.35</v>
      </c>
      <c r="G73" s="18">
        <v>1049.6099999999999</v>
      </c>
      <c r="H73" s="18">
        <v>150000</v>
      </c>
      <c r="I73" s="18">
        <v>-150000</v>
      </c>
      <c r="J73" s="18">
        <f t="shared" si="21"/>
        <v>508378.60349999997</v>
      </c>
      <c r="K73" s="18">
        <f t="shared" si="22"/>
        <v>358378.60349999997</v>
      </c>
      <c r="L73" s="18">
        <f t="shared" si="23"/>
        <v>2220</v>
      </c>
      <c r="M73" s="74">
        <f t="shared" si="17"/>
        <v>2.38919069</v>
      </c>
      <c r="N73" s="26">
        <f t="shared" si="24"/>
        <v>0.22223699296711996</v>
      </c>
      <c r="O73" s="17" t="s">
        <v>30</v>
      </c>
      <c r="P73" s="104"/>
      <c r="Q73" s="27">
        <f t="shared" si="25"/>
        <v>6.0821917808219181</v>
      </c>
      <c r="R73" s="28"/>
      <c r="S73" s="29"/>
      <c r="T73" s="18"/>
    </row>
    <row r="74" spans="1:256" x14ac:dyDescent="0.25">
      <c r="A74" s="9">
        <v>9</v>
      </c>
      <c r="B74" t="s">
        <v>79</v>
      </c>
      <c r="C74" s="23" t="s">
        <v>80</v>
      </c>
      <c r="D74" s="24">
        <v>43894</v>
      </c>
      <c r="E74" s="24">
        <v>46080</v>
      </c>
      <c r="F74" s="25">
        <v>484.35</v>
      </c>
      <c r="G74" s="18">
        <v>1130.5396000000001</v>
      </c>
      <c r="H74" s="18">
        <v>150000</v>
      </c>
      <c r="I74" s="18">
        <v>-150000</v>
      </c>
      <c r="J74" s="18">
        <f t="shared" si="21"/>
        <v>547576.8552600001</v>
      </c>
      <c r="K74" s="18">
        <f t="shared" si="22"/>
        <v>397576.8552600001</v>
      </c>
      <c r="L74" s="18">
        <f t="shared" si="23"/>
        <v>2186</v>
      </c>
      <c r="M74" s="74">
        <f t="shared" si="17"/>
        <v>2.6505123684000007</v>
      </c>
      <c r="N74" s="26">
        <f t="shared" si="24"/>
        <v>0.24135826176240838</v>
      </c>
      <c r="O74" s="17" t="s">
        <v>30</v>
      </c>
      <c r="P74" s="104"/>
      <c r="Q74" s="27">
        <f t="shared" si="25"/>
        <v>5.9890410958904106</v>
      </c>
      <c r="R74" s="28"/>
      <c r="S74" s="29"/>
      <c r="T74" s="18"/>
    </row>
    <row r="75" spans="1:256" x14ac:dyDescent="0.25">
      <c r="A75" s="9">
        <v>10</v>
      </c>
      <c r="B75" s="75" t="s">
        <v>109</v>
      </c>
      <c r="C75" s="23" t="s">
        <v>110</v>
      </c>
      <c r="D75" s="24">
        <v>42835</v>
      </c>
      <c r="E75" s="24">
        <v>46080</v>
      </c>
      <c r="F75" s="25">
        <v>53.948500000000003</v>
      </c>
      <c r="G75" s="18">
        <v>9646.1820000000007</v>
      </c>
      <c r="H75" s="18">
        <v>296671</v>
      </c>
      <c r="I75" s="18">
        <v>-296671</v>
      </c>
      <c r="J75" s="18">
        <f t="shared" si="21"/>
        <v>520397.04962700006</v>
      </c>
      <c r="K75" s="18">
        <f t="shared" si="22"/>
        <v>223726.04962700006</v>
      </c>
      <c r="L75" s="18">
        <f t="shared" si="23"/>
        <v>3245</v>
      </c>
      <c r="M75" s="74">
        <f t="shared" si="17"/>
        <v>0.75412173629036894</v>
      </c>
      <c r="N75" s="26">
        <f t="shared" si="24"/>
        <v>6.5251167752629291E-2</v>
      </c>
      <c r="O75" s="17" t="s">
        <v>22</v>
      </c>
      <c r="P75" s="17"/>
      <c r="Q75" s="27">
        <f t="shared" si="25"/>
        <v>8.8904109589041092</v>
      </c>
      <c r="R75" s="28"/>
      <c r="S75" s="29"/>
      <c r="T75" s="18"/>
    </row>
    <row r="76" spans="1:256" ht="15.75" thickBot="1" x14ac:dyDescent="0.3">
      <c r="A76" s="9">
        <v>11</v>
      </c>
      <c r="B76" s="75" t="s">
        <v>111</v>
      </c>
      <c r="C76" s="23" t="s">
        <v>112</v>
      </c>
      <c r="D76" s="24">
        <v>43990</v>
      </c>
      <c r="E76" s="24">
        <v>46080</v>
      </c>
      <c r="F76" s="25">
        <v>3914.9232000000002</v>
      </c>
      <c r="G76" s="18">
        <v>910.67499999999995</v>
      </c>
      <c r="H76" s="18">
        <v>2500000</v>
      </c>
      <c r="I76" s="18">
        <v>-2500000</v>
      </c>
      <c r="J76" s="18">
        <f t="shared" si="21"/>
        <v>3565222.6851599999</v>
      </c>
      <c r="K76" s="18">
        <f t="shared" si="22"/>
        <v>1065222.6851599999</v>
      </c>
      <c r="L76" s="18">
        <f t="shared" si="23"/>
        <v>2090</v>
      </c>
      <c r="M76" s="74">
        <f t="shared" si="17"/>
        <v>0.42608907406399993</v>
      </c>
      <c r="N76" s="26">
        <f t="shared" si="24"/>
        <v>6.3947867443794104E-2</v>
      </c>
      <c r="O76" s="17" t="s">
        <v>22</v>
      </c>
      <c r="P76" s="17"/>
      <c r="Q76" s="27">
        <f t="shared" si="25"/>
        <v>5.7260273972602738</v>
      </c>
      <c r="R76" s="28"/>
      <c r="S76" s="29"/>
      <c r="T76" s="18"/>
    </row>
    <row r="77" spans="1:256" ht="15.75" thickBot="1" x14ac:dyDescent="0.3">
      <c r="A77" s="105">
        <v>12</v>
      </c>
      <c r="B77" s="98" t="s">
        <v>113</v>
      </c>
      <c r="C77" s="37" t="s">
        <v>114</v>
      </c>
      <c r="D77" s="38">
        <v>43990</v>
      </c>
      <c r="E77" s="24">
        <v>46080</v>
      </c>
      <c r="F77" s="25">
        <v>38.933500000000002</v>
      </c>
      <c r="G77" s="39">
        <v>88351.085999999996</v>
      </c>
      <c r="H77" s="39">
        <v>2500000</v>
      </c>
      <c r="I77" s="39">
        <v>-2500000</v>
      </c>
      <c r="J77" s="39">
        <f t="shared" si="21"/>
        <v>3439817.0067810002</v>
      </c>
      <c r="K77" s="39">
        <f t="shared" si="22"/>
        <v>939817.00678100018</v>
      </c>
      <c r="L77" s="39">
        <f t="shared" si="23"/>
        <v>2090</v>
      </c>
      <c r="M77" s="77">
        <f t="shared" si="17"/>
        <v>0.37592680271240009</v>
      </c>
      <c r="N77" s="26">
        <f t="shared" si="24"/>
        <v>5.731513187865267E-2</v>
      </c>
      <c r="O77" s="41" t="s">
        <v>30</v>
      </c>
      <c r="P77" s="41"/>
      <c r="Q77" s="27">
        <f t="shared" si="25"/>
        <v>5.7260273972602738</v>
      </c>
      <c r="R77" s="28"/>
      <c r="S77" s="42"/>
      <c r="T77" s="18"/>
    </row>
    <row r="78" spans="1:256" ht="15.75" thickBot="1" x14ac:dyDescent="0.3">
      <c r="A78" s="43"/>
      <c r="B78" s="44"/>
      <c r="C78" s="45"/>
      <c r="D78" s="46"/>
      <c r="E78" s="24"/>
      <c r="F78" s="25"/>
      <c r="G78" s="47" t="s">
        <v>49</v>
      </c>
      <c r="H78" s="47">
        <f>SUM(H66:H77)</f>
        <v>9486845</v>
      </c>
      <c r="I78" s="47">
        <f>SUM(I66:I77)</f>
        <v>-9486845</v>
      </c>
      <c r="J78" s="47">
        <f>SUM(J66:J77)</f>
        <v>14814688.395268003</v>
      </c>
      <c r="K78" s="47">
        <f>SUM(K66:K77)</f>
        <v>5327843.3952680007</v>
      </c>
      <c r="L78" s="47">
        <f>AVERAGE(L66:L77)</f>
        <v>2085.5</v>
      </c>
      <c r="M78" s="78">
        <f t="shared" si="17"/>
        <v>0.56160329332544179</v>
      </c>
      <c r="N78" s="26">
        <f t="shared" si="24"/>
        <v>8.1131088738289892E-2</v>
      </c>
      <c r="O78" s="50"/>
      <c r="P78" s="50"/>
      <c r="Q78" s="51">
        <f t="shared" si="25"/>
        <v>5.7136986301369861</v>
      </c>
      <c r="R78" s="28"/>
      <c r="S78" s="52"/>
      <c r="T78" s="18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4"/>
      <c r="DW78" s="54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4"/>
      <c r="EI78" s="54"/>
      <c r="EJ78" s="54"/>
      <c r="EK78" s="54"/>
      <c r="EL78" s="54"/>
      <c r="EM78" s="54"/>
      <c r="EN78" s="54"/>
      <c r="EO78" s="54"/>
      <c r="EP78" s="54"/>
      <c r="EQ78" s="54"/>
      <c r="ER78" s="54"/>
      <c r="ES78" s="54"/>
      <c r="ET78" s="54"/>
      <c r="EU78" s="54"/>
      <c r="EV78" s="54"/>
      <c r="EW78" s="54"/>
      <c r="EX78" s="54"/>
      <c r="EY78" s="54"/>
      <c r="EZ78" s="54"/>
      <c r="FA78" s="54"/>
      <c r="FB78" s="54"/>
      <c r="FC78" s="54"/>
      <c r="FD78" s="54"/>
      <c r="FE78" s="54"/>
      <c r="FF78" s="54"/>
      <c r="FG78" s="54"/>
      <c r="FH78" s="54"/>
      <c r="FI78" s="54"/>
      <c r="FJ78" s="54"/>
      <c r="FK78" s="54"/>
      <c r="FL78" s="54"/>
      <c r="FM78" s="54"/>
      <c r="FN78" s="54"/>
      <c r="FO78" s="54"/>
      <c r="FP78" s="54"/>
      <c r="FQ78" s="54"/>
      <c r="FR78" s="54"/>
      <c r="FS78" s="54"/>
      <c r="FT78" s="54"/>
      <c r="FU78" s="54"/>
      <c r="FV78" s="54"/>
      <c r="FW78" s="54"/>
      <c r="FX78" s="54"/>
      <c r="FY78" s="54"/>
      <c r="FZ78" s="54"/>
      <c r="GA78" s="54"/>
      <c r="GB78" s="54"/>
      <c r="GC78" s="54"/>
      <c r="GD78" s="54"/>
      <c r="GE78" s="54"/>
      <c r="GF78" s="54"/>
      <c r="GG78" s="54"/>
      <c r="GH78" s="54"/>
      <c r="GI78" s="54"/>
      <c r="GJ78" s="54"/>
      <c r="GK78" s="54"/>
      <c r="GL78" s="54"/>
      <c r="GM78" s="54"/>
      <c r="GN78" s="54"/>
      <c r="GO78" s="54"/>
      <c r="GP78" s="54"/>
      <c r="GQ78" s="54"/>
      <c r="GR78" s="54"/>
      <c r="GS78" s="54"/>
      <c r="GT78" s="54"/>
      <c r="GU78" s="54"/>
      <c r="GV78" s="54"/>
      <c r="GW78" s="54"/>
      <c r="GX78" s="54"/>
      <c r="GY78" s="54"/>
      <c r="GZ78" s="54"/>
      <c r="HA78" s="54"/>
      <c r="HB78" s="54"/>
      <c r="HC78" s="54"/>
      <c r="HD78" s="54"/>
      <c r="HE78" s="54"/>
      <c r="HF78" s="54"/>
      <c r="HG78" s="54"/>
      <c r="HH78" s="54"/>
      <c r="HI78" s="54"/>
      <c r="HJ78" s="54"/>
      <c r="HK78" s="54"/>
      <c r="HL78" s="54"/>
      <c r="HM78" s="54"/>
      <c r="HN78" s="54"/>
      <c r="HO78" s="54"/>
      <c r="HP78" s="54"/>
      <c r="HQ78" s="54"/>
      <c r="HR78" s="54"/>
      <c r="HS78" s="54"/>
      <c r="HT78" s="54"/>
      <c r="HU78" s="54"/>
      <c r="HV78" s="54"/>
      <c r="HW78" s="54"/>
      <c r="HX78" s="54"/>
      <c r="HY78" s="54"/>
      <c r="HZ78" s="54"/>
      <c r="IA78" s="54"/>
      <c r="IB78" s="54"/>
      <c r="IC78" s="54"/>
      <c r="ID78" s="54"/>
      <c r="IE78" s="54"/>
      <c r="IF78" s="54"/>
      <c r="IG78" s="54"/>
      <c r="IH78" s="54"/>
      <c r="II78" s="54"/>
      <c r="IJ78" s="54"/>
      <c r="IK78" s="54"/>
      <c r="IL78" s="54"/>
      <c r="IM78" s="54"/>
      <c r="IN78" s="54"/>
      <c r="IO78" s="54"/>
      <c r="IP78" s="54"/>
      <c r="IQ78" s="54"/>
      <c r="IR78" s="54"/>
      <c r="IS78" s="54"/>
      <c r="IT78" s="54"/>
      <c r="IU78" s="54"/>
      <c r="IV78" s="54"/>
    </row>
    <row r="79" spans="1:256" ht="34.5" x14ac:dyDescent="0.45">
      <c r="A79" s="55"/>
      <c r="B79" s="56"/>
      <c r="C79" s="15" t="s">
        <v>133</v>
      </c>
      <c r="D79" s="57"/>
      <c r="E79" s="24"/>
      <c r="F79" s="25"/>
      <c r="G79" s="58"/>
      <c r="H79" s="58"/>
      <c r="I79" s="58"/>
      <c r="J79" s="59"/>
      <c r="K79" s="58"/>
      <c r="L79" s="58"/>
      <c r="M79" s="80"/>
      <c r="N79" s="26"/>
      <c r="O79" s="55"/>
      <c r="P79" s="55"/>
      <c r="Q79" s="27"/>
      <c r="R79" s="28"/>
      <c r="S79" s="60"/>
      <c r="T79" s="18"/>
    </row>
    <row r="80" spans="1:256" x14ac:dyDescent="0.25">
      <c r="A80" s="35">
        <v>1</v>
      </c>
      <c r="B80" s="9" t="s">
        <v>115</v>
      </c>
      <c r="C80" s="32" t="s">
        <v>116</v>
      </c>
      <c r="D80" s="33">
        <v>43987</v>
      </c>
      <c r="E80" s="24">
        <v>46080</v>
      </c>
      <c r="F80" s="25">
        <v>43.088999999999999</v>
      </c>
      <c r="G80" s="34">
        <v>3177.498</v>
      </c>
      <c r="H80" s="34">
        <v>100000</v>
      </c>
      <c r="I80" s="34">
        <v>-100000</v>
      </c>
      <c r="J80" s="34">
        <f>F80*G80</f>
        <v>136915.21132199999</v>
      </c>
      <c r="K80" s="34">
        <f>J80-H80</f>
        <v>36915.211321999988</v>
      </c>
      <c r="L80" s="34">
        <f>E80-D80</f>
        <v>2093</v>
      </c>
      <c r="M80" s="74">
        <f t="shared" si="17"/>
        <v>0.36915211321999986</v>
      </c>
      <c r="N80" s="26">
        <f t="shared" si="24"/>
        <v>5.6321027109326183E-2</v>
      </c>
      <c r="O80" s="35" t="s">
        <v>22</v>
      </c>
      <c r="P80" s="17"/>
      <c r="Q80" s="27">
        <f t="shared" si="25"/>
        <v>5.7342465753424658</v>
      </c>
      <c r="R80" s="28"/>
      <c r="S80" s="29"/>
      <c r="T80" s="18"/>
    </row>
    <row r="81" spans="1:256" x14ac:dyDescent="0.25">
      <c r="A81" s="17">
        <v>2</v>
      </c>
      <c r="B81" t="s">
        <v>40</v>
      </c>
      <c r="C81" s="23" t="s">
        <v>41</v>
      </c>
      <c r="D81" s="24">
        <v>44249</v>
      </c>
      <c r="E81" s="24">
        <v>46080</v>
      </c>
      <c r="F81" s="25">
        <v>6212.2673999999997</v>
      </c>
      <c r="G81" s="18">
        <v>25.754000000000001</v>
      </c>
      <c r="H81" s="18">
        <v>120000</v>
      </c>
      <c r="I81" s="18">
        <v>-120000</v>
      </c>
      <c r="J81" s="34">
        <f>F81*G81</f>
        <v>159990.7346196</v>
      </c>
      <c r="K81" s="34">
        <f>J81-H81</f>
        <v>39990.7346196</v>
      </c>
      <c r="L81" s="34">
        <f>E81-D81</f>
        <v>1831</v>
      </c>
      <c r="M81" s="74">
        <f t="shared" si="17"/>
        <v>0.33325612182999997</v>
      </c>
      <c r="N81" s="26">
        <f t="shared" si="24"/>
        <v>5.901192738229244E-2</v>
      </c>
      <c r="O81" s="17" t="s">
        <v>22</v>
      </c>
      <c r="P81" s="17"/>
      <c r="Q81" s="27">
        <f t="shared" si="25"/>
        <v>5.0164383561643833</v>
      </c>
      <c r="R81" s="28"/>
      <c r="S81" s="29"/>
      <c r="T81" s="18"/>
    </row>
    <row r="82" spans="1:256" x14ac:dyDescent="0.25">
      <c r="A82" s="17">
        <v>3</v>
      </c>
      <c r="B82" t="s">
        <v>117</v>
      </c>
      <c r="C82" s="23" t="s">
        <v>118</v>
      </c>
      <c r="D82" s="24">
        <v>44701</v>
      </c>
      <c r="E82" s="24">
        <v>46080</v>
      </c>
      <c r="F82" s="25">
        <v>222.8047</v>
      </c>
      <c r="G82" s="18">
        <v>712.56200000000001</v>
      </c>
      <c r="H82" s="18">
        <v>100000</v>
      </c>
      <c r="I82" s="18">
        <v>-100000</v>
      </c>
      <c r="J82" s="34">
        <f>F82*G82</f>
        <v>158762.16264140001</v>
      </c>
      <c r="K82" s="34">
        <f>J82-H82</f>
        <v>58762.162641400006</v>
      </c>
      <c r="L82" s="34">
        <f>E82-D82</f>
        <v>1379</v>
      </c>
      <c r="M82" s="74">
        <f t="shared" si="17"/>
        <v>0.58762162641400006</v>
      </c>
      <c r="N82" s="26">
        <f t="shared" si="24"/>
        <v>0.13014620704015911</v>
      </c>
      <c r="O82" s="17" t="s">
        <v>30</v>
      </c>
      <c r="P82" s="17"/>
      <c r="Q82" s="27">
        <f t="shared" si="25"/>
        <v>3.7780821917808218</v>
      </c>
      <c r="R82" s="28"/>
      <c r="S82" s="29"/>
      <c r="T82" s="18"/>
    </row>
    <row r="83" spans="1:256" x14ac:dyDescent="0.25">
      <c r="A83" s="17">
        <v>4</v>
      </c>
      <c r="B83" t="s">
        <v>119</v>
      </c>
      <c r="C83" s="23" t="s">
        <v>120</v>
      </c>
      <c r="D83" s="24">
        <v>43999</v>
      </c>
      <c r="E83" s="24">
        <v>46080</v>
      </c>
      <c r="F83" s="25">
        <v>372.5111</v>
      </c>
      <c r="G83" s="18">
        <v>756.51700000000005</v>
      </c>
      <c r="H83" s="18">
        <v>100000</v>
      </c>
      <c r="I83" s="18">
        <v>-100000</v>
      </c>
      <c r="J83" s="34">
        <f>F83*G83</f>
        <v>281810.97983870003</v>
      </c>
      <c r="K83" s="34">
        <f>J83-H83</f>
        <v>181810.97983870003</v>
      </c>
      <c r="L83" s="34">
        <f>E83-D83</f>
        <v>2081</v>
      </c>
      <c r="M83" s="74">
        <f t="shared" si="17"/>
        <v>1.8181097983870003</v>
      </c>
      <c r="N83" s="26">
        <f t="shared" si="24"/>
        <v>0.19928117695652237</v>
      </c>
      <c r="O83" s="17" t="s">
        <v>30</v>
      </c>
      <c r="P83" s="17"/>
      <c r="Q83" s="27">
        <f t="shared" si="25"/>
        <v>5.7013698630136984</v>
      </c>
      <c r="R83" s="28"/>
      <c r="S83" s="29"/>
      <c r="T83" s="18"/>
    </row>
    <row r="84" spans="1:256" ht="15.75" thickBot="1" x14ac:dyDescent="0.3">
      <c r="A84" s="41">
        <v>5</v>
      </c>
      <c r="B84" t="s">
        <v>121</v>
      </c>
      <c r="C84" s="37" t="s">
        <v>122</v>
      </c>
      <c r="D84" s="38">
        <v>45113</v>
      </c>
      <c r="E84" s="24">
        <v>46080</v>
      </c>
      <c r="F84" s="25">
        <v>189.6191</v>
      </c>
      <c r="G84" s="106">
        <v>269.22500000000002</v>
      </c>
      <c r="H84" s="39">
        <v>40000</v>
      </c>
      <c r="I84" s="39">
        <v>-40000</v>
      </c>
      <c r="J84" s="76">
        <f>F84*G84</f>
        <v>51050.202197500003</v>
      </c>
      <c r="K84" s="76">
        <f>J84-H84</f>
        <v>11050.202197500003</v>
      </c>
      <c r="L84" s="76">
        <f>E84-D84</f>
        <v>967</v>
      </c>
      <c r="M84" s="77">
        <f t="shared" si="17"/>
        <v>0.27625505493750008</v>
      </c>
      <c r="N84" s="26">
        <f t="shared" si="24"/>
        <v>9.6444720975131792E-2</v>
      </c>
      <c r="O84" s="41" t="s">
        <v>30</v>
      </c>
      <c r="P84" s="41"/>
      <c r="Q84" s="27">
        <f t="shared" si="25"/>
        <v>2.6493150684931508</v>
      </c>
      <c r="R84" s="28"/>
      <c r="S84" s="42"/>
      <c r="T84" s="18"/>
    </row>
    <row r="85" spans="1:256" ht="15.75" thickBot="1" x14ac:dyDescent="0.3">
      <c r="A85" s="43"/>
      <c r="B85" s="50"/>
      <c r="C85" s="45"/>
      <c r="D85" s="46"/>
      <c r="E85" s="24"/>
      <c r="F85" s="25"/>
      <c r="G85" s="47" t="s">
        <v>49</v>
      </c>
      <c r="H85" s="47">
        <f>SUM(H80:H84)</f>
        <v>460000</v>
      </c>
      <c r="I85" s="47">
        <f>SUM(I80:I84)</f>
        <v>-460000</v>
      </c>
      <c r="J85" s="47">
        <f>SUM(J80:J84)</f>
        <v>788529.2906192001</v>
      </c>
      <c r="K85" s="47">
        <f>SUM(K80:K84)</f>
        <v>328529.29061920004</v>
      </c>
      <c r="L85" s="47">
        <f>AVERAGE(L80:L84)</f>
        <v>1670.2</v>
      </c>
      <c r="M85" s="78">
        <f t="shared" si="17"/>
        <v>0.71419411004173916</v>
      </c>
      <c r="N85" s="26">
        <f t="shared" si="24"/>
        <v>0.12499527963244805</v>
      </c>
      <c r="O85" s="50"/>
      <c r="P85" s="50"/>
      <c r="Q85" s="51">
        <f t="shared" si="25"/>
        <v>4.5758904109589045</v>
      </c>
      <c r="R85" s="28"/>
      <c r="S85" s="107"/>
      <c r="T85" s="18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54"/>
      <c r="EM85" s="54"/>
      <c r="EN85" s="54"/>
      <c r="EO85" s="54"/>
      <c r="EP85" s="54"/>
      <c r="EQ85" s="54"/>
      <c r="ER85" s="54"/>
      <c r="ES85" s="54"/>
      <c r="ET85" s="54"/>
      <c r="EU85" s="54"/>
      <c r="EV85" s="54"/>
      <c r="EW85" s="54"/>
      <c r="EX85" s="54"/>
      <c r="EY85" s="54"/>
      <c r="EZ85" s="54"/>
      <c r="FA85" s="54"/>
      <c r="FB85" s="54"/>
      <c r="FC85" s="54"/>
      <c r="FD85" s="54"/>
      <c r="FE85" s="54"/>
      <c r="FF85" s="54"/>
      <c r="FG85" s="54"/>
      <c r="FH85" s="54"/>
      <c r="FI85" s="54"/>
      <c r="FJ85" s="54"/>
      <c r="FK85" s="54"/>
      <c r="FL85" s="54"/>
      <c r="FM85" s="54"/>
      <c r="FN85" s="54"/>
      <c r="FO85" s="54"/>
      <c r="FP85" s="54"/>
      <c r="FQ85" s="54"/>
      <c r="FR85" s="54"/>
      <c r="FS85" s="54"/>
      <c r="FT85" s="54"/>
      <c r="FU85" s="54"/>
      <c r="FV85" s="54"/>
      <c r="FW85" s="54"/>
      <c r="FX85" s="54"/>
      <c r="FY85" s="54"/>
      <c r="FZ85" s="54"/>
      <c r="GA85" s="54"/>
      <c r="GB85" s="54"/>
      <c r="GC85" s="54"/>
      <c r="GD85" s="54"/>
      <c r="GE85" s="54"/>
      <c r="GF85" s="54"/>
      <c r="GG85" s="54"/>
      <c r="GH85" s="54"/>
      <c r="GI85" s="54"/>
      <c r="GJ85" s="54"/>
      <c r="GK85" s="54"/>
      <c r="GL85" s="54"/>
      <c r="GM85" s="54"/>
      <c r="GN85" s="54"/>
      <c r="GO85" s="54"/>
      <c r="GP85" s="54"/>
      <c r="GQ85" s="54"/>
      <c r="GR85" s="54"/>
      <c r="GS85" s="54"/>
      <c r="GT85" s="54"/>
      <c r="GU85" s="54"/>
      <c r="GV85" s="54"/>
      <c r="GW85" s="54"/>
      <c r="GX85" s="54"/>
      <c r="GY85" s="54"/>
      <c r="GZ85" s="54"/>
      <c r="HA85" s="54"/>
      <c r="HB85" s="54"/>
      <c r="HC85" s="54"/>
      <c r="HD85" s="54"/>
      <c r="HE85" s="54"/>
      <c r="HF85" s="54"/>
      <c r="HG85" s="54"/>
      <c r="HH85" s="54"/>
      <c r="HI85" s="54"/>
      <c r="HJ85" s="54"/>
      <c r="HK85" s="54"/>
      <c r="HL85" s="54"/>
      <c r="HM85" s="54"/>
      <c r="HN85" s="54"/>
      <c r="HO85" s="54"/>
      <c r="HP85" s="54"/>
      <c r="HQ85" s="54"/>
      <c r="HR85" s="54"/>
      <c r="HS85" s="54"/>
      <c r="HT85" s="54"/>
      <c r="HU85" s="54"/>
      <c r="HV85" s="54"/>
      <c r="HW85" s="54"/>
      <c r="HX85" s="54"/>
      <c r="HY85" s="54"/>
      <c r="HZ85" s="54"/>
      <c r="IA85" s="54"/>
      <c r="IB85" s="54"/>
      <c r="IC85" s="54"/>
      <c r="ID85" s="54"/>
      <c r="IE85" s="54"/>
      <c r="IF85" s="54"/>
      <c r="IG85" s="54"/>
      <c r="IH85" s="54"/>
      <c r="II85" s="54"/>
      <c r="IJ85" s="54"/>
      <c r="IK85" s="54"/>
      <c r="IL85" s="54"/>
      <c r="IM85" s="54"/>
      <c r="IN85" s="54"/>
      <c r="IO85" s="54"/>
      <c r="IP85" s="54"/>
      <c r="IQ85" s="54"/>
      <c r="IR85" s="54"/>
      <c r="IS85" s="54"/>
      <c r="IT85" s="54"/>
      <c r="IU85" s="54"/>
      <c r="IV85" s="54"/>
    </row>
    <row r="86" spans="1:256" x14ac:dyDescent="0.25">
      <c r="A86" s="55"/>
      <c r="B86" s="55"/>
      <c r="C86" s="108"/>
      <c r="D86" s="57"/>
      <c r="E86" s="24"/>
      <c r="F86" s="25"/>
      <c r="G86" s="58"/>
      <c r="H86" s="58"/>
      <c r="I86" s="58"/>
      <c r="J86" s="58"/>
      <c r="K86" s="58"/>
      <c r="L86" s="58"/>
      <c r="M86" s="80"/>
      <c r="N86" s="26"/>
      <c r="O86" s="55"/>
      <c r="P86" s="55"/>
      <c r="Q86" s="27">
        <f t="shared" si="25"/>
        <v>0</v>
      </c>
      <c r="R86" s="28"/>
      <c r="S86" s="60"/>
      <c r="T86" s="18"/>
    </row>
    <row r="87" spans="1:256" ht="34.5" x14ac:dyDescent="0.45">
      <c r="A87" s="17"/>
      <c r="B87" s="17"/>
      <c r="C87" s="109" t="s">
        <v>132</v>
      </c>
      <c r="D87" s="24"/>
      <c r="E87" s="24"/>
      <c r="F87" s="25"/>
      <c r="G87" s="18"/>
      <c r="H87" s="18"/>
      <c r="I87" s="18"/>
      <c r="J87" s="19"/>
      <c r="K87" s="18"/>
      <c r="L87" s="18"/>
      <c r="M87" s="110"/>
      <c r="N87" s="26"/>
      <c r="O87" s="17"/>
      <c r="P87" s="17"/>
      <c r="Q87" s="27"/>
      <c r="R87" s="28"/>
      <c r="S87" s="29"/>
      <c r="T87" s="18"/>
    </row>
    <row r="88" spans="1:256" ht="15.75" thickBot="1" x14ac:dyDescent="0.3">
      <c r="A88" s="83">
        <v>1</v>
      </c>
      <c r="B88" s="83" t="s">
        <v>115</v>
      </c>
      <c r="C88" s="111" t="s">
        <v>116</v>
      </c>
      <c r="D88" s="85">
        <v>44249</v>
      </c>
      <c r="E88" s="24">
        <v>46080</v>
      </c>
      <c r="F88" s="25">
        <v>43.088999999999999</v>
      </c>
      <c r="G88" s="76">
        <v>3699.1460000000002</v>
      </c>
      <c r="H88" s="76">
        <v>120000</v>
      </c>
      <c r="I88" s="76">
        <v>-120000</v>
      </c>
      <c r="J88" s="76">
        <f>F88*G88</f>
        <v>159392.50199399999</v>
      </c>
      <c r="K88" s="76">
        <f>J88-H88</f>
        <v>39392.501993999991</v>
      </c>
      <c r="L88" s="76">
        <f>E88-D88</f>
        <v>1831</v>
      </c>
      <c r="M88" s="77">
        <f t="shared" si="17"/>
        <v>0.32827084994999994</v>
      </c>
      <c r="N88" s="26">
        <f t="shared" si="24"/>
        <v>5.8221373090793227E-2</v>
      </c>
      <c r="O88" s="83" t="s">
        <v>22</v>
      </c>
      <c r="P88" s="41"/>
      <c r="Q88" s="27">
        <f t="shared" si="25"/>
        <v>5.0164383561643833</v>
      </c>
      <c r="R88" s="28"/>
      <c r="S88" s="42"/>
      <c r="T88" s="18"/>
    </row>
    <row r="89" spans="1:256" ht="15.75" thickBot="1" x14ac:dyDescent="0.3">
      <c r="A89" s="43"/>
      <c r="B89" s="50"/>
      <c r="C89" s="45"/>
      <c r="D89" s="46"/>
      <c r="E89" s="46"/>
      <c r="F89" s="112"/>
      <c r="G89" s="47" t="s">
        <v>49</v>
      </c>
      <c r="H89" s="47">
        <f>SUM(H88)</f>
        <v>120000</v>
      </c>
      <c r="I89" s="47">
        <f>SUM(I88)</f>
        <v>-120000</v>
      </c>
      <c r="J89" s="47">
        <f>SUM(J88)</f>
        <v>159392.50199399999</v>
      </c>
      <c r="K89" s="47">
        <f>SUM(K88)</f>
        <v>39392.501993999991</v>
      </c>
      <c r="L89" s="47">
        <f>AVERAGE(L88)</f>
        <v>1831</v>
      </c>
      <c r="M89" s="78">
        <f t="shared" si="17"/>
        <v>0.32827084994999994</v>
      </c>
      <c r="N89" s="26">
        <f t="shared" si="24"/>
        <v>5.8221373090793227E-2</v>
      </c>
      <c r="O89" s="50"/>
      <c r="P89" s="50"/>
      <c r="Q89" s="51">
        <f t="shared" si="25"/>
        <v>5.0164383561643833</v>
      </c>
      <c r="R89" s="28"/>
      <c r="S89" s="52"/>
      <c r="T89" s="18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54"/>
      <c r="EM89" s="54"/>
      <c r="EN89" s="54"/>
      <c r="EO89" s="54"/>
      <c r="EP89" s="54"/>
      <c r="EQ89" s="54"/>
      <c r="ER89" s="54"/>
      <c r="ES89" s="54"/>
      <c r="ET89" s="54"/>
      <c r="EU89" s="54"/>
      <c r="EV89" s="54"/>
      <c r="EW89" s="54"/>
      <c r="EX89" s="54"/>
      <c r="EY89" s="54"/>
      <c r="EZ89" s="54"/>
      <c r="FA89" s="54"/>
      <c r="FB89" s="54"/>
      <c r="FC89" s="54"/>
      <c r="FD89" s="54"/>
      <c r="FE89" s="54"/>
      <c r="FF89" s="54"/>
      <c r="FG89" s="54"/>
      <c r="FH89" s="54"/>
      <c r="FI89" s="54"/>
      <c r="FJ89" s="54"/>
      <c r="FK89" s="54"/>
      <c r="FL89" s="54"/>
      <c r="FM89" s="54"/>
      <c r="FN89" s="54"/>
      <c r="FO89" s="54"/>
      <c r="FP89" s="54"/>
      <c r="FQ89" s="54"/>
      <c r="FR89" s="54"/>
      <c r="FS89" s="54"/>
      <c r="FT89" s="54"/>
      <c r="FU89" s="54"/>
      <c r="FV89" s="54"/>
      <c r="FW89" s="54"/>
      <c r="FX89" s="54"/>
      <c r="FY89" s="54"/>
      <c r="FZ89" s="54"/>
      <c r="GA89" s="54"/>
      <c r="GB89" s="54"/>
      <c r="GC89" s="54"/>
      <c r="GD89" s="54"/>
      <c r="GE89" s="54"/>
      <c r="GF89" s="54"/>
      <c r="GG89" s="54"/>
      <c r="GH89" s="54"/>
      <c r="GI89" s="54"/>
      <c r="GJ89" s="54"/>
      <c r="GK89" s="54"/>
      <c r="GL89" s="54"/>
      <c r="GM89" s="54"/>
      <c r="GN89" s="54"/>
      <c r="GO89" s="54"/>
      <c r="GP89" s="54"/>
      <c r="GQ89" s="54"/>
      <c r="GR89" s="54"/>
      <c r="GS89" s="54"/>
      <c r="GT89" s="54"/>
      <c r="GU89" s="54"/>
      <c r="GV89" s="54"/>
      <c r="GW89" s="54"/>
      <c r="GX89" s="54"/>
      <c r="GY89" s="54"/>
      <c r="GZ89" s="54"/>
      <c r="HA89" s="54"/>
      <c r="HB89" s="54"/>
      <c r="HC89" s="54"/>
      <c r="HD89" s="54"/>
      <c r="HE89" s="54"/>
      <c r="HF89" s="54"/>
      <c r="HG89" s="54"/>
      <c r="HH89" s="54"/>
      <c r="HI89" s="54"/>
      <c r="HJ89" s="54"/>
      <c r="HK89" s="54"/>
      <c r="HL89" s="54"/>
      <c r="HM89" s="54"/>
      <c r="HN89" s="54"/>
      <c r="HO89" s="54"/>
      <c r="HP89" s="54"/>
      <c r="HQ89" s="54"/>
      <c r="HR89" s="54"/>
      <c r="HS89" s="54"/>
      <c r="HT89" s="54"/>
      <c r="HU89" s="54"/>
      <c r="HV89" s="54"/>
      <c r="HW89" s="54"/>
      <c r="HX89" s="54"/>
      <c r="HY89" s="54"/>
      <c r="HZ89" s="54"/>
      <c r="IA89" s="54"/>
      <c r="IB89" s="54"/>
      <c r="IC89" s="54"/>
      <c r="ID89" s="54"/>
      <c r="IE89" s="54"/>
      <c r="IF89" s="54"/>
      <c r="IG89" s="54"/>
      <c r="IH89" s="54"/>
      <c r="II89" s="54"/>
      <c r="IJ89" s="54"/>
      <c r="IK89" s="54"/>
      <c r="IL89" s="54"/>
      <c r="IM89" s="54"/>
      <c r="IN89" s="54"/>
      <c r="IO89" s="54"/>
      <c r="IP89" s="54"/>
      <c r="IQ89" s="54"/>
      <c r="IR89" s="54"/>
      <c r="IS89" s="54"/>
      <c r="IT89" s="54"/>
      <c r="IU89" s="54"/>
      <c r="IV89" s="54"/>
    </row>
    <row r="90" spans="1:256" ht="15.75" thickBot="1" x14ac:dyDescent="0.3">
      <c r="A90" s="55"/>
      <c r="B90" s="55"/>
      <c r="C90" s="108"/>
      <c r="D90" s="55"/>
      <c r="E90" s="57"/>
      <c r="F90" s="55"/>
      <c r="G90" s="55"/>
      <c r="H90" s="55"/>
      <c r="I90" s="55"/>
      <c r="J90" s="55"/>
      <c r="K90" s="55"/>
      <c r="L90" s="55"/>
      <c r="M90" s="80"/>
      <c r="N90" s="113"/>
      <c r="O90" s="55"/>
      <c r="P90" s="55"/>
      <c r="Q90" s="27"/>
      <c r="R90" s="28"/>
      <c r="S90" s="52"/>
      <c r="T90" s="114"/>
    </row>
    <row r="91" spans="1:256" ht="25.5" thickBot="1" x14ac:dyDescent="0.3">
      <c r="A91" s="115"/>
      <c r="B91" s="115"/>
      <c r="C91" s="116"/>
      <c r="D91" s="115"/>
      <c r="E91" s="117"/>
      <c r="F91" s="115"/>
      <c r="G91" s="118" t="s">
        <v>123</v>
      </c>
      <c r="H91" s="119">
        <f>SUM(H89+H85+H78+H64+H55+H50+H47+H44+H35+H24+H16)</f>
        <v>61744017</v>
      </c>
      <c r="I91" s="119">
        <f>SUM(I89+I85+I78+I64+I55+I50+I47+I44+I35+I24+I16)</f>
        <v>-61744017</v>
      </c>
      <c r="J91" s="119">
        <f>SUM(J89+J85+J78+J64+J55+J50+J47+J44+J35+J24+J16)</f>
        <v>104926450.0780631</v>
      </c>
      <c r="K91" s="119" t="e">
        <f>#REF!</f>
        <v>#REF!</v>
      </c>
      <c r="L91" s="120"/>
      <c r="M91" s="121" t="e">
        <f t="shared" si="17"/>
        <v>#REF!</v>
      </c>
      <c r="N91" s="122" t="e">
        <f>#REF!</f>
        <v>#REF!</v>
      </c>
      <c r="O91" s="123" t="s">
        <v>37</v>
      </c>
      <c r="P91" s="115"/>
      <c r="Q91" s="124"/>
      <c r="R91" s="28"/>
      <c r="S91" s="52"/>
      <c r="T91" s="119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  <c r="FH91" s="53"/>
      <c r="FI91" s="53"/>
      <c r="FJ91" s="53"/>
      <c r="FK91" s="53"/>
      <c r="FL91" s="53"/>
      <c r="FM91" s="53"/>
      <c r="FN91" s="53"/>
      <c r="FO91" s="53"/>
      <c r="FP91" s="53"/>
      <c r="FQ91" s="53"/>
      <c r="FR91" s="53"/>
      <c r="FS91" s="53"/>
      <c r="FT91" s="53"/>
      <c r="FU91" s="53"/>
      <c r="FV91" s="53"/>
      <c r="FW91" s="53"/>
      <c r="FX91" s="53"/>
      <c r="FY91" s="53"/>
      <c r="FZ91" s="53"/>
      <c r="GA91" s="53"/>
      <c r="GB91" s="53"/>
      <c r="GC91" s="53"/>
      <c r="GD91" s="53"/>
      <c r="GE91" s="53"/>
      <c r="GF91" s="53"/>
      <c r="GG91" s="53"/>
      <c r="GH91" s="53"/>
      <c r="GI91" s="53"/>
      <c r="GJ91" s="53"/>
      <c r="GK91" s="53"/>
      <c r="GL91" s="53"/>
      <c r="GM91" s="53"/>
      <c r="GN91" s="53"/>
      <c r="GO91" s="53"/>
      <c r="GP91" s="53"/>
      <c r="GQ91" s="53"/>
      <c r="GR91" s="53"/>
      <c r="GS91" s="53"/>
      <c r="GT91" s="53"/>
      <c r="GU91" s="53"/>
      <c r="GV91" s="53"/>
      <c r="GW91" s="53"/>
      <c r="GX91" s="53"/>
      <c r="GY91" s="53"/>
      <c r="GZ91" s="53"/>
      <c r="HA91" s="53"/>
      <c r="HB91" s="53"/>
      <c r="HC91" s="53"/>
      <c r="HD91" s="53"/>
      <c r="HE91" s="53"/>
      <c r="HF91" s="53"/>
      <c r="HG91" s="53"/>
      <c r="HH91" s="53"/>
      <c r="HI91" s="53"/>
      <c r="HJ91" s="53"/>
      <c r="HK91" s="53"/>
      <c r="HL91" s="53"/>
      <c r="HM91" s="53"/>
      <c r="HN91" s="53"/>
      <c r="HO91" s="53"/>
      <c r="HP91" s="53"/>
      <c r="HQ91" s="53"/>
      <c r="HR91" s="53"/>
      <c r="HS91" s="53"/>
      <c r="HT91" s="53"/>
      <c r="HU91" s="53"/>
      <c r="HV91" s="53"/>
      <c r="HW91" s="53"/>
      <c r="HX91" s="53"/>
      <c r="HY91" s="53"/>
      <c r="HZ91" s="53"/>
      <c r="IA91" s="53"/>
      <c r="IB91" s="53"/>
      <c r="IC91" s="53"/>
      <c r="ID91" s="53"/>
      <c r="IE91" s="53"/>
      <c r="IF91" s="53"/>
      <c r="IG91" s="53"/>
      <c r="IH91" s="53"/>
      <c r="II91" s="53"/>
      <c r="IJ91" s="53"/>
      <c r="IK91" s="53"/>
      <c r="IL91" s="53"/>
      <c r="IM91" s="53"/>
      <c r="IN91" s="53"/>
      <c r="IO91" s="53"/>
      <c r="IP91" s="53"/>
      <c r="IQ91" s="53"/>
      <c r="IR91" s="53"/>
      <c r="IS91" s="53"/>
      <c r="IT91" s="53"/>
      <c r="IU91" s="53"/>
      <c r="IV91" s="53"/>
    </row>
    <row r="92" spans="1:256" ht="18" x14ac:dyDescent="0.25">
      <c r="A92" s="125"/>
      <c r="B92" s="125"/>
      <c r="C92" s="126"/>
      <c r="D92" s="125"/>
      <c r="E92" s="127"/>
      <c r="F92" s="125"/>
      <c r="G92" s="128"/>
      <c r="H92" s="129"/>
      <c r="I92" s="129"/>
      <c r="J92" s="119"/>
      <c r="K92" s="129"/>
      <c r="L92" s="130"/>
      <c r="M92" s="131"/>
      <c r="N92" s="132"/>
      <c r="O92" s="133"/>
      <c r="P92" s="125"/>
      <c r="Q92" s="124"/>
      <c r="R92" s="134"/>
      <c r="S92" s="135"/>
      <c r="T92" s="129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  <c r="FH92" s="53"/>
      <c r="FI92" s="53"/>
      <c r="FJ92" s="53"/>
      <c r="FK92" s="53"/>
      <c r="FL92" s="53"/>
      <c r="FM92" s="53"/>
      <c r="FN92" s="53"/>
      <c r="FO92" s="53"/>
      <c r="FP92" s="53"/>
      <c r="FQ92" s="53"/>
      <c r="FR92" s="53"/>
      <c r="FS92" s="53"/>
      <c r="FT92" s="53"/>
      <c r="FU92" s="53"/>
      <c r="FV92" s="53"/>
      <c r="FW92" s="53"/>
      <c r="FX92" s="53"/>
      <c r="FY92" s="53"/>
      <c r="FZ92" s="53"/>
      <c r="GA92" s="53"/>
      <c r="GB92" s="53"/>
      <c r="GC92" s="53"/>
      <c r="GD92" s="53"/>
      <c r="GE92" s="53"/>
      <c r="GF92" s="53"/>
      <c r="GG92" s="53"/>
      <c r="GH92" s="53"/>
      <c r="GI92" s="53"/>
      <c r="GJ92" s="53"/>
      <c r="GK92" s="53"/>
      <c r="GL92" s="53"/>
      <c r="GM92" s="53"/>
      <c r="GN92" s="53"/>
      <c r="GO92" s="53"/>
      <c r="GP92" s="53"/>
      <c r="GQ92" s="53"/>
      <c r="GR92" s="53"/>
      <c r="GS92" s="53"/>
      <c r="GT92" s="53"/>
      <c r="GU92" s="53"/>
      <c r="GV92" s="53"/>
      <c r="GW92" s="53"/>
      <c r="GX92" s="53"/>
      <c r="GY92" s="53"/>
      <c r="GZ92" s="53"/>
      <c r="HA92" s="53"/>
      <c r="HB92" s="53"/>
      <c r="HC92" s="53"/>
      <c r="HD92" s="53"/>
      <c r="HE92" s="53"/>
      <c r="HF92" s="53"/>
      <c r="HG92" s="53"/>
      <c r="HH92" s="53"/>
      <c r="HI92" s="53"/>
      <c r="HJ92" s="53"/>
      <c r="HK92" s="53"/>
      <c r="HL92" s="53"/>
      <c r="HM92" s="53"/>
      <c r="HN92" s="53"/>
      <c r="HO92" s="53"/>
      <c r="HP92" s="53"/>
      <c r="HQ92" s="53"/>
      <c r="HR92" s="53"/>
      <c r="HS92" s="53"/>
      <c r="HT92" s="53"/>
      <c r="HU92" s="53"/>
      <c r="HV92" s="53"/>
      <c r="HW92" s="53"/>
      <c r="HX92" s="53"/>
      <c r="HY92" s="53"/>
      <c r="HZ92" s="53"/>
      <c r="IA92" s="53"/>
      <c r="IB92" s="53"/>
      <c r="IC92" s="53"/>
      <c r="ID92" s="53"/>
      <c r="IE92" s="53"/>
      <c r="IF92" s="53"/>
      <c r="IG92" s="53"/>
      <c r="IH92" s="53"/>
      <c r="II92" s="53"/>
      <c r="IJ92" s="53"/>
      <c r="IK92" s="53"/>
      <c r="IL92" s="53"/>
      <c r="IM92" s="53"/>
      <c r="IN92" s="53"/>
      <c r="IO92" s="53"/>
      <c r="IP92" s="53"/>
      <c r="IQ92" s="53"/>
      <c r="IR92" s="53"/>
      <c r="IS92" s="53"/>
      <c r="IT92" s="53"/>
      <c r="IU92" s="53"/>
      <c r="IV92" s="53"/>
    </row>
    <row r="93" spans="1:256" ht="18" x14ac:dyDescent="0.25">
      <c r="A93" s="125"/>
      <c r="B93" s="125"/>
      <c r="C93" s="126"/>
      <c r="D93" s="125"/>
      <c r="E93" s="127"/>
      <c r="F93" s="125"/>
      <c r="G93" s="128"/>
      <c r="H93" s="129"/>
      <c r="I93" s="129"/>
      <c r="J93" s="119"/>
      <c r="K93" s="129"/>
      <c r="L93" s="130"/>
      <c r="M93" s="131"/>
      <c r="N93" s="132"/>
      <c r="O93" s="133"/>
      <c r="P93" s="125"/>
      <c r="Q93" s="124"/>
      <c r="R93" s="134"/>
      <c r="S93" s="135"/>
      <c r="T93" s="129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  <c r="FH93" s="53"/>
      <c r="FI93" s="53"/>
      <c r="FJ93" s="53"/>
      <c r="FK93" s="53"/>
      <c r="FL93" s="53"/>
      <c r="FM93" s="53"/>
      <c r="FN93" s="53"/>
      <c r="FO93" s="53"/>
      <c r="FP93" s="53"/>
      <c r="FQ93" s="53"/>
      <c r="FR93" s="53"/>
      <c r="FS93" s="53"/>
      <c r="FT93" s="53"/>
      <c r="FU93" s="53"/>
      <c r="FV93" s="53"/>
      <c r="FW93" s="53"/>
      <c r="FX93" s="53"/>
      <c r="FY93" s="53"/>
      <c r="FZ93" s="53"/>
      <c r="GA93" s="53"/>
      <c r="GB93" s="53"/>
      <c r="GC93" s="53"/>
      <c r="GD93" s="53"/>
      <c r="GE93" s="53"/>
      <c r="GF93" s="53"/>
      <c r="GG93" s="53"/>
      <c r="GH93" s="53"/>
      <c r="GI93" s="53"/>
      <c r="GJ93" s="53"/>
      <c r="GK93" s="53"/>
      <c r="GL93" s="53"/>
      <c r="GM93" s="53"/>
      <c r="GN93" s="53"/>
      <c r="GO93" s="53"/>
      <c r="GP93" s="53"/>
      <c r="GQ93" s="53"/>
      <c r="GR93" s="53"/>
      <c r="GS93" s="53"/>
      <c r="GT93" s="53"/>
      <c r="GU93" s="53"/>
      <c r="GV93" s="53"/>
      <c r="GW93" s="53"/>
      <c r="GX93" s="53"/>
      <c r="GY93" s="53"/>
      <c r="GZ93" s="53"/>
      <c r="HA93" s="53"/>
      <c r="HB93" s="53"/>
      <c r="HC93" s="53"/>
      <c r="HD93" s="53"/>
      <c r="HE93" s="53"/>
      <c r="HF93" s="53"/>
      <c r="HG93" s="53"/>
      <c r="HH93" s="53"/>
      <c r="HI93" s="53"/>
      <c r="HJ93" s="53"/>
      <c r="HK93" s="53"/>
      <c r="HL93" s="53"/>
      <c r="HM93" s="53"/>
      <c r="HN93" s="53"/>
      <c r="HO93" s="53"/>
      <c r="HP93" s="53"/>
      <c r="HQ93" s="53"/>
      <c r="HR93" s="53"/>
      <c r="HS93" s="53"/>
      <c r="HT93" s="53"/>
      <c r="HU93" s="53"/>
      <c r="HV93" s="53"/>
      <c r="HW93" s="53"/>
      <c r="HX93" s="53"/>
      <c r="HY93" s="53"/>
      <c r="HZ93" s="53"/>
      <c r="IA93" s="53"/>
      <c r="IB93" s="53"/>
      <c r="IC93" s="53"/>
      <c r="ID93" s="53"/>
      <c r="IE93" s="53"/>
      <c r="IF93" s="53"/>
      <c r="IG93" s="53"/>
      <c r="IH93" s="53"/>
      <c r="II93" s="53"/>
      <c r="IJ93" s="53"/>
      <c r="IK93" s="53"/>
      <c r="IL93" s="53"/>
      <c r="IM93" s="53"/>
      <c r="IN93" s="53"/>
      <c r="IO93" s="53"/>
      <c r="IP93" s="53"/>
      <c r="IQ93" s="53"/>
      <c r="IR93" s="53"/>
      <c r="IS93" s="53"/>
      <c r="IT93" s="53"/>
      <c r="IU93" s="53"/>
      <c r="IV93" s="53"/>
    </row>
  </sheetData>
  <conditionalFormatting sqref="IW69:XFD69">
    <cfRule type="expression" dxfId="10" priority="14">
      <formula>"n68&lt;0"</formula>
    </cfRule>
  </conditionalFormatting>
  <conditionalFormatting sqref="K94:K1048576 M1:N65505 R3:S65505">
    <cfRule type="cellIs" dxfId="9" priority="19" operator="lessThan">
      <formula>0</formula>
    </cfRule>
    <cfRule type="cellIs" dxfId="8" priority="20" operator="greaterThan">
      <formula>0</formula>
    </cfRule>
  </conditionalFormatting>
  <conditionalFormatting sqref="M1:M1048576">
    <cfRule type="cellIs" dxfId="7" priority="15" operator="between">
      <formula>30</formula>
      <formula>50</formula>
    </cfRule>
    <cfRule type="cellIs" priority="16" operator="between">
      <formula>50</formula>
      <formula>1000</formula>
    </cfRule>
  </conditionalFormatting>
  <conditionalFormatting sqref="M65506:N1048576">
    <cfRule type="cellIs" dxfId="6" priority="17" operator="lessThan">
      <formula>0</formula>
    </cfRule>
    <cfRule type="cellIs" dxfId="5" priority="18" operator="greaterThan">
      <formula>0</formula>
    </cfRule>
  </conditionalFormatting>
  <conditionalFormatting sqref="R65506:S1048576">
    <cfRule type="cellIs" dxfId="4" priority="12" operator="lessThan">
      <formula>0</formula>
    </cfRule>
    <cfRule type="cellIs" dxfId="3" priority="13" operator="greaterThan">
      <formula>0</formula>
    </cfRule>
  </conditionalFormatting>
  <conditionalFormatting sqref="A69:D70 U69:IV70 G69:Q70">
    <cfRule type="expression" dxfId="2" priority="5">
      <formula>"n68&lt;0"</formula>
    </cfRule>
  </conditionalFormatting>
  <conditionalFormatting sqref="K1:K93">
    <cfRule type="cellIs" dxfId="1" priority="10" operator="lessThan">
      <formula>0</formula>
    </cfRule>
    <cfRule type="cellIs" dxfId="0" priority="1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2026-03-28T09:58:25Z</dcterms:created>
  <dcterms:modified xsi:type="dcterms:W3CDTF">2026-03-28T10:02:19Z</dcterms:modified>
</cp:coreProperties>
</file>